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13_ncr:1_{15BFE5C8-DC0B-470D-9580-A47727B1C62A}" xr6:coauthVersionLast="32" xr6:coauthVersionMax="32" xr10:uidLastSave="{00000000-0000-0000-0000-000000000000}"/>
  <bookViews>
    <workbookView xWindow="0" yWindow="0" windowWidth="20490" windowHeight="8130" xr2:uid="{9E0DB5A2-57C5-4765-8F8A-709C84A140A2}"/>
  </bookViews>
  <sheets>
    <sheet name="Planilha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Y36" i="1" l="1"/>
  <c r="DY35" i="1"/>
  <c r="DY34" i="1"/>
  <c r="DY33" i="1"/>
  <c r="DY32" i="1"/>
  <c r="DY31" i="1"/>
  <c r="DY30" i="1"/>
  <c r="DY29" i="1"/>
  <c r="DY28" i="1"/>
  <c r="DY27" i="1"/>
  <c r="DY26" i="1"/>
  <c r="DY25" i="1"/>
  <c r="DY24" i="1"/>
  <c r="DY23" i="1"/>
  <c r="DY22" i="1"/>
  <c r="DY21" i="1"/>
  <c r="DY20" i="1"/>
  <c r="DY19" i="1"/>
  <c r="DY18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DY2" i="1"/>
  <c r="DX36" i="1"/>
  <c r="DX35" i="1"/>
  <c r="DX34" i="1"/>
  <c r="DX33" i="1"/>
  <c r="DX32" i="1"/>
  <c r="DX31" i="1"/>
  <c r="DX30" i="1"/>
  <c r="DX29" i="1"/>
  <c r="DX28" i="1"/>
  <c r="DX27" i="1"/>
  <c r="DX26" i="1"/>
  <c r="DX25" i="1"/>
  <c r="DX24" i="1"/>
  <c r="DX23" i="1"/>
  <c r="DX22" i="1"/>
  <c r="DX21" i="1"/>
  <c r="DX20" i="1"/>
  <c r="DX19" i="1"/>
  <c r="DX18" i="1"/>
  <c r="DX17" i="1"/>
  <c r="DX16" i="1"/>
  <c r="DX15" i="1"/>
  <c r="DX14" i="1"/>
  <c r="DX13" i="1"/>
  <c r="DX12" i="1"/>
  <c r="DX11" i="1"/>
  <c r="DX10" i="1"/>
  <c r="DX9" i="1"/>
  <c r="DX8" i="1"/>
  <c r="DX7" i="1"/>
  <c r="DX6" i="1"/>
  <c r="DX5" i="1"/>
  <c r="DX4" i="1"/>
  <c r="DX3" i="1"/>
  <c r="DX2" i="1"/>
  <c r="CY36" i="1"/>
  <c r="CY35" i="1"/>
  <c r="CY34" i="1"/>
  <c r="CY33" i="1"/>
  <c r="CY32" i="1"/>
  <c r="CY31" i="1"/>
  <c r="CY30" i="1"/>
  <c r="CY29" i="1"/>
  <c r="CY28" i="1"/>
  <c r="CY27" i="1"/>
  <c r="CY26" i="1"/>
  <c r="CY25" i="1"/>
  <c r="CY24" i="1"/>
  <c r="CY23" i="1"/>
  <c r="CY22" i="1"/>
  <c r="CY21" i="1"/>
  <c r="CY20" i="1"/>
  <c r="CY19" i="1"/>
  <c r="CY18" i="1"/>
  <c r="CY17" i="1"/>
  <c r="CY16" i="1"/>
  <c r="CY15" i="1"/>
  <c r="CY14" i="1"/>
  <c r="CY13" i="1"/>
  <c r="CY12" i="1"/>
  <c r="CY11" i="1"/>
  <c r="CY10" i="1"/>
  <c r="CY9" i="1"/>
  <c r="CY8" i="1"/>
  <c r="CY7" i="1"/>
  <c r="CY6" i="1"/>
  <c r="CY5" i="1"/>
  <c r="CY4" i="1"/>
  <c r="CY3" i="1"/>
  <c r="DW2" i="1"/>
  <c r="CX36" i="1"/>
  <c r="CX35" i="1"/>
  <c r="CX34" i="1"/>
  <c r="CX33" i="1"/>
  <c r="CX32" i="1"/>
  <c r="CX31" i="1"/>
  <c r="CX30" i="1"/>
  <c r="CX29" i="1"/>
  <c r="CX28" i="1"/>
  <c r="CX27" i="1"/>
  <c r="CX26" i="1"/>
  <c r="CX25" i="1"/>
  <c r="CX24" i="1"/>
  <c r="CX23" i="1"/>
  <c r="CX22" i="1"/>
  <c r="CX21" i="1"/>
  <c r="CX20" i="1"/>
  <c r="CX19" i="1"/>
  <c r="CX18" i="1"/>
  <c r="CX17" i="1"/>
  <c r="CX16" i="1"/>
  <c r="CX15" i="1"/>
  <c r="CX14" i="1"/>
  <c r="CX13" i="1"/>
  <c r="CX12" i="1"/>
  <c r="CX11" i="1"/>
  <c r="CX10" i="1"/>
  <c r="CX9" i="1"/>
  <c r="CX8" i="1"/>
  <c r="CX7" i="1"/>
  <c r="CX6" i="1"/>
  <c r="CX5" i="1"/>
  <c r="CX4" i="1"/>
  <c r="CX3" i="1"/>
  <c r="CY2" i="1"/>
  <c r="CX2" i="1"/>
  <c r="BY2" i="1"/>
  <c r="BX36" i="1"/>
  <c r="BX35" i="1"/>
  <c r="BX34" i="1"/>
  <c r="BX33" i="1"/>
  <c r="BX32" i="1"/>
  <c r="BX31" i="1"/>
  <c r="BX30" i="1"/>
  <c r="BX29" i="1"/>
  <c r="BX28" i="1"/>
  <c r="BX27" i="1"/>
  <c r="BX26" i="1"/>
  <c r="BX25" i="1"/>
  <c r="BX24" i="1"/>
  <c r="BX23" i="1"/>
  <c r="BX22" i="1"/>
  <c r="BX21" i="1"/>
  <c r="BX20" i="1"/>
  <c r="BX19" i="1"/>
  <c r="BX18" i="1"/>
  <c r="BX17" i="1"/>
  <c r="BX16" i="1"/>
  <c r="BX15" i="1"/>
  <c r="BX14" i="1"/>
  <c r="BX13" i="1"/>
  <c r="BX12" i="1"/>
  <c r="BX11" i="1"/>
  <c r="BX10" i="1"/>
  <c r="BX9" i="1"/>
  <c r="BX8" i="1"/>
  <c r="BX7" i="1"/>
  <c r="BX6" i="1"/>
  <c r="BX5" i="1"/>
  <c r="BX4" i="1"/>
  <c r="BX3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BW16" i="1"/>
  <c r="BW15" i="1"/>
  <c r="BW14" i="1"/>
  <c r="BW13" i="1"/>
  <c r="BW12" i="1"/>
  <c r="BW11" i="1"/>
  <c r="BW10" i="1"/>
  <c r="BW9" i="1"/>
  <c r="BW8" i="1"/>
  <c r="BW7" i="1"/>
  <c r="BW6" i="1"/>
  <c r="BW5" i="1"/>
  <c r="BW4" i="1"/>
  <c r="BW3" i="1"/>
  <c r="BX2" i="1"/>
  <c r="BW2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Y2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X2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Y35" i="1" l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DV34" i="1"/>
  <c r="DU34" i="1"/>
  <c r="DT34" i="1"/>
  <c r="DT36" i="1" s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U34" i="1"/>
  <c r="BT34" i="1"/>
  <c r="BT36" i="1" s="1"/>
  <c r="BS34" i="1"/>
  <c r="BR34" i="1"/>
  <c r="BQ34" i="1"/>
  <c r="BP34" i="1"/>
  <c r="BP36" i="1" s="1"/>
  <c r="BO34" i="1"/>
  <c r="BN34" i="1"/>
  <c r="BM34" i="1"/>
  <c r="BL34" i="1"/>
  <c r="BL36" i="1" s="1"/>
  <c r="BK34" i="1"/>
  <c r="BJ34" i="1"/>
  <c r="BI34" i="1"/>
  <c r="BH34" i="1"/>
  <c r="BH36" i="1" s="1"/>
  <c r="BG34" i="1"/>
  <c r="BF34" i="1"/>
  <c r="BE34" i="1"/>
  <c r="BD34" i="1"/>
  <c r="BC34" i="1"/>
  <c r="BB34" i="1"/>
  <c r="BA34" i="1"/>
  <c r="AV34" i="1"/>
  <c r="AV36" i="1" s="1"/>
  <c r="AU34" i="1"/>
  <c r="AT34" i="1"/>
  <c r="AS34" i="1"/>
  <c r="AR34" i="1"/>
  <c r="AR36" i="1" s="1"/>
  <c r="AQ34" i="1"/>
  <c r="AP34" i="1"/>
  <c r="AO34" i="1"/>
  <c r="AN34" i="1"/>
  <c r="AM34" i="1"/>
  <c r="AL34" i="1"/>
  <c r="AK34" i="1"/>
  <c r="AJ34" i="1"/>
  <c r="AJ36" i="1" s="1"/>
  <c r="AI34" i="1"/>
  <c r="AH34" i="1"/>
  <c r="AG34" i="1"/>
  <c r="AF34" i="1"/>
  <c r="AF36" i="1" s="1"/>
  <c r="Y34" i="1"/>
  <c r="X34" i="1"/>
  <c r="AE34" i="1"/>
  <c r="AD34" i="1"/>
  <c r="DV35" i="1"/>
  <c r="DV36" i="1" s="1"/>
  <c r="DU35" i="1"/>
  <c r="DT35" i="1"/>
  <c r="DS35" i="1"/>
  <c r="DR35" i="1"/>
  <c r="DR36" i="1" s="1"/>
  <c r="DQ35" i="1"/>
  <c r="DP35" i="1"/>
  <c r="DO35" i="1"/>
  <c r="DN35" i="1"/>
  <c r="DN36" i="1" s="1"/>
  <c r="DM35" i="1"/>
  <c r="DL35" i="1"/>
  <c r="DK35" i="1"/>
  <c r="DJ35" i="1"/>
  <c r="DJ36" i="1" s="1"/>
  <c r="DI35" i="1"/>
  <c r="DH35" i="1"/>
  <c r="DG35" i="1"/>
  <c r="DF35" i="1"/>
  <c r="DE35" i="1"/>
  <c r="DD35" i="1"/>
  <c r="DC35" i="1"/>
  <c r="DB35" i="1"/>
  <c r="DA35" i="1"/>
  <c r="CV35" i="1"/>
  <c r="CU35" i="1"/>
  <c r="CT35" i="1"/>
  <c r="CT36" i="1" s="1"/>
  <c r="CS35" i="1"/>
  <c r="CR35" i="1"/>
  <c r="CQ35" i="1"/>
  <c r="CP35" i="1"/>
  <c r="CP36" i="1" s="1"/>
  <c r="CO35" i="1"/>
  <c r="CN35" i="1"/>
  <c r="CM35" i="1"/>
  <c r="CL35" i="1"/>
  <c r="CL36" i="1" s="1"/>
  <c r="CK35" i="1"/>
  <c r="CJ35" i="1"/>
  <c r="CI35" i="1"/>
  <c r="CH35" i="1"/>
  <c r="CH36" i="1" s="1"/>
  <c r="CG35" i="1"/>
  <c r="CF35" i="1"/>
  <c r="CE35" i="1"/>
  <c r="CD35" i="1"/>
  <c r="CD36" i="1" s="1"/>
  <c r="CC35" i="1"/>
  <c r="CB35" i="1"/>
  <c r="CA35" i="1"/>
  <c r="BZ35" i="1"/>
  <c r="BZ36" i="1" s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F36" i="1" s="1"/>
  <c r="BE35" i="1"/>
  <c r="BD35" i="1"/>
  <c r="BC35" i="1"/>
  <c r="BB35" i="1"/>
  <c r="BA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W34" i="1"/>
  <c r="V34" i="1"/>
  <c r="U34" i="1"/>
  <c r="T34" i="1"/>
  <c r="T36" i="1" s="1"/>
  <c r="S34" i="1"/>
  <c r="R34" i="1"/>
  <c r="Q34" i="1"/>
  <c r="P34" i="1"/>
  <c r="P36" i="1" s="1"/>
  <c r="O34" i="1"/>
  <c r="N34" i="1"/>
  <c r="M34" i="1"/>
  <c r="L34" i="1"/>
  <c r="L36" i="1" s="1"/>
  <c r="K34" i="1"/>
  <c r="J34" i="1"/>
  <c r="I34" i="1"/>
  <c r="H34" i="1"/>
  <c r="H36" i="1" s="1"/>
  <c r="G34" i="1"/>
  <c r="F34" i="1"/>
  <c r="E34" i="1"/>
  <c r="D34" i="1"/>
  <c r="D36" i="1" s="1"/>
  <c r="C34" i="1"/>
  <c r="B34" i="1"/>
  <c r="DK36" i="1" l="1"/>
  <c r="B36" i="1"/>
  <c r="F36" i="1"/>
  <c r="J36" i="1"/>
  <c r="N36" i="1"/>
  <c r="R36" i="1"/>
  <c r="V36" i="1"/>
  <c r="AN36" i="1"/>
  <c r="CV36" i="1"/>
  <c r="BJ36" i="1"/>
  <c r="BN36" i="1"/>
  <c r="BR36" i="1"/>
  <c r="AE36" i="1"/>
  <c r="C36" i="1"/>
  <c r="G36" i="1"/>
  <c r="K36" i="1"/>
  <c r="O36" i="1"/>
  <c r="S36" i="1"/>
  <c r="W36" i="1"/>
  <c r="CC36" i="1"/>
  <c r="CG36" i="1"/>
  <c r="CK36" i="1"/>
  <c r="CO36" i="1"/>
  <c r="CS36" i="1"/>
  <c r="DE36" i="1"/>
  <c r="DI36" i="1"/>
  <c r="AI36" i="1"/>
  <c r="AM36" i="1"/>
  <c r="AQ36" i="1"/>
  <c r="AU36" i="1"/>
  <c r="BC36" i="1"/>
  <c r="BG36" i="1"/>
  <c r="BK36" i="1"/>
  <c r="BO36" i="1"/>
  <c r="BS36" i="1"/>
  <c r="DF36" i="1"/>
  <c r="CA36" i="1"/>
  <c r="CE36" i="1"/>
  <c r="CI36" i="1"/>
  <c r="CM36" i="1"/>
  <c r="CQ36" i="1"/>
  <c r="CU36" i="1"/>
  <c r="AD36" i="1"/>
  <c r="BD36" i="1"/>
  <c r="CB36" i="1"/>
  <c r="CF36" i="1"/>
  <c r="CJ36" i="1"/>
  <c r="CN36" i="1"/>
  <c r="CR36" i="1"/>
  <c r="AA35" i="1"/>
  <c r="AB35" i="1"/>
  <c r="AA34" i="1"/>
  <c r="AC34" i="1" s="1"/>
  <c r="AB34" i="1"/>
  <c r="DD36" i="1"/>
  <c r="DH36" i="1"/>
  <c r="DL36" i="1"/>
  <c r="DP36" i="1"/>
  <c r="AH36" i="1"/>
  <c r="AL36" i="1"/>
  <c r="AP36" i="1"/>
  <c r="AT36" i="1"/>
  <c r="BB36" i="1"/>
  <c r="AG36" i="1"/>
  <c r="AK36" i="1"/>
  <c r="AO36" i="1"/>
  <c r="AS36" i="1"/>
  <c r="BA36" i="1"/>
  <c r="BE36" i="1"/>
  <c r="BI36" i="1"/>
  <c r="BM36" i="1"/>
  <c r="BQ36" i="1"/>
  <c r="BU36" i="1"/>
  <c r="DM36" i="1"/>
  <c r="DU36" i="1"/>
  <c r="DA36" i="1"/>
  <c r="DQ36" i="1"/>
  <c r="X36" i="1"/>
  <c r="DB36" i="1"/>
  <c r="E36" i="1"/>
  <c r="I36" i="1"/>
  <c r="M36" i="1"/>
  <c r="Q36" i="1"/>
  <c r="U36" i="1"/>
  <c r="Y36" i="1"/>
  <c r="DC36" i="1"/>
  <c r="DG36" i="1"/>
  <c r="DO36" i="1"/>
  <c r="DS36" i="1"/>
  <c r="DW33" i="1"/>
  <c r="DW32" i="1"/>
  <c r="DW31" i="1"/>
  <c r="DW30" i="1"/>
  <c r="DW29" i="1"/>
  <c r="DW28" i="1"/>
  <c r="DW27" i="1"/>
  <c r="DW26" i="1"/>
  <c r="DW25" i="1"/>
  <c r="DW24" i="1"/>
  <c r="DW23" i="1"/>
  <c r="DW22" i="1"/>
  <c r="DW21" i="1"/>
  <c r="DW20" i="1"/>
  <c r="DW19" i="1"/>
  <c r="DW18" i="1"/>
  <c r="DW17" i="1"/>
  <c r="DW16" i="1"/>
  <c r="DW15" i="1"/>
  <c r="DW14" i="1"/>
  <c r="DW13" i="1"/>
  <c r="DW12" i="1"/>
  <c r="DW11" i="1"/>
  <c r="DW10" i="1"/>
  <c r="DW9" i="1"/>
  <c r="DW8" i="1"/>
  <c r="DW7" i="1"/>
  <c r="DW6" i="1"/>
  <c r="DW5" i="1"/>
  <c r="DW4" i="1"/>
  <c r="DW3" i="1"/>
  <c r="CW33" i="1"/>
  <c r="CW32" i="1"/>
  <c r="CW31" i="1"/>
  <c r="CW30" i="1"/>
  <c r="CW29" i="1"/>
  <c r="CW28" i="1"/>
  <c r="CW27" i="1"/>
  <c r="CW26" i="1"/>
  <c r="CW25" i="1"/>
  <c r="CW24" i="1"/>
  <c r="CW23" i="1"/>
  <c r="CW22" i="1"/>
  <c r="CW21" i="1"/>
  <c r="CW20" i="1"/>
  <c r="CW19" i="1"/>
  <c r="CW18" i="1"/>
  <c r="CW17" i="1"/>
  <c r="CW16" i="1"/>
  <c r="CW15" i="1"/>
  <c r="CW14" i="1"/>
  <c r="CW13" i="1"/>
  <c r="CW12" i="1"/>
  <c r="CW11" i="1"/>
  <c r="CW10" i="1"/>
  <c r="CW9" i="1"/>
  <c r="CW8" i="1"/>
  <c r="CW7" i="1"/>
  <c r="CW6" i="1"/>
  <c r="CW5" i="1"/>
  <c r="CW4" i="1"/>
  <c r="CW3" i="1"/>
  <c r="CW2" i="1"/>
  <c r="BV33" i="1"/>
  <c r="BV32" i="1"/>
  <c r="BV31" i="1"/>
  <c r="BV30" i="1"/>
  <c r="BV29" i="1"/>
  <c r="BV28" i="1"/>
  <c r="BV27" i="1"/>
  <c r="BV26" i="1"/>
  <c r="BV25" i="1"/>
  <c r="BV24" i="1"/>
  <c r="BV23" i="1"/>
  <c r="BV22" i="1"/>
  <c r="BV21" i="1"/>
  <c r="BV20" i="1"/>
  <c r="BV19" i="1"/>
  <c r="BV18" i="1"/>
  <c r="BV17" i="1"/>
  <c r="BV16" i="1"/>
  <c r="BV15" i="1"/>
  <c r="BV14" i="1"/>
  <c r="BV13" i="1"/>
  <c r="BV12" i="1"/>
  <c r="BV11" i="1"/>
  <c r="BV10" i="1"/>
  <c r="BV9" i="1"/>
  <c r="BV8" i="1"/>
  <c r="BV7" i="1"/>
  <c r="BV6" i="1"/>
  <c r="BV5" i="1"/>
  <c r="BV4" i="1"/>
  <c r="BV3" i="1"/>
  <c r="BV2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W2" i="1"/>
  <c r="Z29" i="1"/>
  <c r="Z33" i="1"/>
  <c r="Z32" i="1"/>
  <c r="Z31" i="1"/>
  <c r="Z30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AZ2" i="1" l="1"/>
  <c r="AZ6" i="1"/>
  <c r="AZ14" i="1"/>
  <c r="AZ22" i="1"/>
  <c r="AZ31" i="1"/>
  <c r="AZ11" i="1"/>
  <c r="AZ15" i="1"/>
  <c r="AZ23" i="1"/>
  <c r="AB36" i="1"/>
  <c r="AZ12" i="1"/>
  <c r="AZ16" i="1"/>
  <c r="AZ28" i="1"/>
  <c r="BV34" i="1"/>
  <c r="CW34" i="1"/>
  <c r="DW34" i="1"/>
  <c r="AZ5" i="1"/>
  <c r="AZ13" i="1"/>
  <c r="AZ25" i="1"/>
  <c r="AZ30" i="1"/>
  <c r="AZ29" i="1"/>
  <c r="AC35" i="1"/>
  <c r="AA36" i="1"/>
  <c r="AC36" i="1" s="1"/>
  <c r="Z34" i="1"/>
  <c r="AW34" i="1"/>
  <c r="Z35" i="1"/>
  <c r="AW35" i="1"/>
  <c r="BV35" i="1"/>
  <c r="CW35" i="1"/>
  <c r="CW36" i="1" s="1"/>
  <c r="DW35" i="1"/>
  <c r="DW36" i="1" s="1"/>
  <c r="BY29" i="1" l="1"/>
  <c r="BY16" i="1"/>
  <c r="BY15" i="1"/>
  <c r="BY30" i="1"/>
  <c r="BY13" i="1"/>
  <c r="BY5" i="1"/>
  <c r="BY11" i="1"/>
  <c r="BY31" i="1"/>
  <c r="AZ21" i="1"/>
  <c r="AZ27" i="1"/>
  <c r="AZ19" i="1"/>
  <c r="AZ3" i="1"/>
  <c r="AZ33" i="1"/>
  <c r="AZ24" i="1"/>
  <c r="AZ8" i="1"/>
  <c r="BV36" i="1"/>
  <c r="Z36" i="1"/>
  <c r="AZ34" i="1"/>
  <c r="AZ17" i="1"/>
  <c r="AZ9" i="1"/>
  <c r="AZ20" i="1"/>
  <c r="AZ4" i="1"/>
  <c r="AZ32" i="1"/>
  <c r="AZ7" i="1"/>
  <c r="AZ26" i="1"/>
  <c r="AZ18" i="1"/>
  <c r="AZ10" i="1"/>
  <c r="AW36" i="1"/>
  <c r="BY12" i="1" l="1"/>
  <c r="BY4" i="1"/>
  <c r="BY19" i="1"/>
  <c r="BY26" i="1"/>
  <c r="BY6" i="1"/>
  <c r="BY22" i="1"/>
  <c r="BY14" i="1"/>
  <c r="BY24" i="1"/>
  <c r="BY28" i="1"/>
  <c r="BY25" i="1"/>
  <c r="BY9" i="1"/>
  <c r="BY10" i="1"/>
  <c r="BY17" i="1"/>
  <c r="BY23" i="1"/>
  <c r="AZ36" i="1"/>
  <c r="AZ35" i="1"/>
  <c r="CZ11" i="1" l="1"/>
  <c r="CZ12" i="1"/>
  <c r="CZ13" i="1"/>
  <c r="CZ31" i="1"/>
  <c r="CZ2" i="1"/>
  <c r="CZ15" i="1"/>
  <c r="BY7" i="1"/>
  <c r="BY34" i="1"/>
  <c r="CZ16" i="1"/>
  <c r="BY8" i="1"/>
  <c r="CZ30" i="1"/>
  <c r="CZ14" i="1"/>
  <c r="BY36" i="1"/>
  <c r="CZ29" i="1"/>
  <c r="CZ22" i="1"/>
  <c r="BY35" i="1"/>
  <c r="BY3" i="1"/>
  <c r="BY32" i="1"/>
  <c r="BY21" i="1"/>
  <c r="BY27" i="1"/>
  <c r="BY20" i="1"/>
  <c r="BY18" i="1"/>
  <c r="CZ5" i="1"/>
  <c r="BY33" i="1"/>
  <c r="DZ11" i="1" l="1"/>
  <c r="CZ7" i="1"/>
  <c r="CZ6" i="1"/>
  <c r="CZ23" i="1"/>
  <c r="DZ16" i="1"/>
  <c r="DZ5" i="1"/>
  <c r="CZ4" i="1"/>
  <c r="DZ12" i="1"/>
  <c r="CZ28" i="1"/>
  <c r="CZ17" i="1"/>
  <c r="CZ20" i="1"/>
  <c r="DZ15" i="1"/>
  <c r="CZ26" i="1"/>
  <c r="CZ9" i="1"/>
  <c r="CZ8" i="1"/>
  <c r="DZ30" i="1"/>
  <c r="CZ24" i="1"/>
  <c r="DZ31" i="1"/>
  <c r="DZ29" i="1"/>
  <c r="CZ10" i="1"/>
  <c r="CZ19" i="1"/>
  <c r="DZ13" i="1"/>
  <c r="CZ25" i="1"/>
  <c r="CZ34" i="1"/>
  <c r="DZ2" i="1"/>
  <c r="CZ3" i="1" l="1"/>
  <c r="CZ33" i="1"/>
  <c r="DZ17" i="1"/>
  <c r="DZ14" i="1"/>
  <c r="DZ8" i="1"/>
  <c r="DZ7" i="1"/>
  <c r="CZ36" i="1"/>
  <c r="DZ6" i="1"/>
  <c r="DZ25" i="1"/>
  <c r="DZ26" i="1"/>
  <c r="DZ23" i="1"/>
  <c r="DZ24" i="1"/>
  <c r="DZ19" i="1"/>
  <c r="CZ21" i="1"/>
  <c r="CZ18" i="1"/>
  <c r="DZ34" i="1"/>
  <c r="DZ10" i="1"/>
  <c r="DZ9" i="1"/>
  <c r="DZ4" i="1"/>
  <c r="CZ35" i="1"/>
  <c r="DZ28" i="1"/>
  <c r="CZ32" i="1"/>
  <c r="DZ22" i="1"/>
  <c r="CZ27" i="1"/>
  <c r="DZ32" i="1" l="1"/>
  <c r="DZ33" i="1"/>
  <c r="DZ18" i="1"/>
  <c r="DZ21" i="1"/>
  <c r="DZ35" i="1"/>
  <c r="DZ3" i="1"/>
  <c r="DZ20" i="1"/>
  <c r="DZ27" i="1"/>
  <c r="DZ36" i="1"/>
</calcChain>
</file>

<file path=xl/sharedStrings.xml><?xml version="1.0" encoding="utf-8"?>
<sst xmlns="http://schemas.openxmlformats.org/spreadsheetml/2006/main" count="164" uniqueCount="152">
  <si>
    <t>0mg 1</t>
  </si>
  <si>
    <t>0mg 2</t>
  </si>
  <si>
    <t>0mg 3</t>
  </si>
  <si>
    <t>0mg 4</t>
  </si>
  <si>
    <t>0mg 5</t>
  </si>
  <si>
    <t>0mg 6</t>
  </si>
  <si>
    <t>0mg 7</t>
  </si>
  <si>
    <t>0mg 8</t>
  </si>
  <si>
    <t>0mg 9</t>
  </si>
  <si>
    <t>0mg 10</t>
  </si>
  <si>
    <t>0mg 11</t>
  </si>
  <si>
    <t>0mg 12</t>
  </si>
  <si>
    <t>0mg 13</t>
  </si>
  <si>
    <t>0mg 14</t>
  </si>
  <si>
    <t>0mg 15</t>
  </si>
  <si>
    <t>0mg 16</t>
  </si>
  <si>
    <t>0mg 17</t>
  </si>
  <si>
    <t>0mg 18</t>
  </si>
  <si>
    <t>0mg 19</t>
  </si>
  <si>
    <t>0mg 20</t>
  </si>
  <si>
    <t>0mg 21</t>
  </si>
  <si>
    <t>0mg 22</t>
  </si>
  <si>
    <t>0mg 23</t>
  </si>
  <si>
    <t>0mg 24</t>
  </si>
  <si>
    <t>1mg 1</t>
  </si>
  <si>
    <t>1mg 2</t>
  </si>
  <si>
    <t>1mg 3</t>
  </si>
  <si>
    <t>1mg 4</t>
  </si>
  <si>
    <t>1mg 5</t>
  </si>
  <si>
    <t>1mg 6</t>
  </si>
  <si>
    <t>1mg 7</t>
  </si>
  <si>
    <t>1mg 8</t>
  </si>
  <si>
    <t>1mg 9</t>
  </si>
  <si>
    <t>1mg 10</t>
  </si>
  <si>
    <t>1mg 11</t>
  </si>
  <si>
    <t>1mg 12</t>
  </si>
  <si>
    <t>1mg 13</t>
  </si>
  <si>
    <t>1mg 14</t>
  </si>
  <si>
    <t>1mg 15</t>
  </si>
  <si>
    <t>1mg 16</t>
  </si>
  <si>
    <t>1mg 17</t>
  </si>
  <si>
    <t>1mg 18</t>
  </si>
  <si>
    <t>1mg 19</t>
  </si>
  <si>
    <t>2,5mg 1</t>
  </si>
  <si>
    <t>2,5mg 2</t>
  </si>
  <si>
    <t>2,5mg 3</t>
  </si>
  <si>
    <t>2,5mg 4</t>
  </si>
  <si>
    <t>2,5mg 5</t>
  </si>
  <si>
    <t>2,5mg 6</t>
  </si>
  <si>
    <t>2,5mg 7</t>
  </si>
  <si>
    <t>2,5mg 8</t>
  </si>
  <si>
    <t>2,5mg 9</t>
  </si>
  <si>
    <t>2,5mg 10</t>
  </si>
  <si>
    <t>2,5mg 11</t>
  </si>
  <si>
    <t>2,5mg 12</t>
  </si>
  <si>
    <t>2,5mg 13</t>
  </si>
  <si>
    <t>2,5mg 14</t>
  </si>
  <si>
    <t>2,5mg 15</t>
  </si>
  <si>
    <t>2,5mg 16</t>
  </si>
  <si>
    <t>2,5mg 17</t>
  </si>
  <si>
    <t>2,5mg 18</t>
  </si>
  <si>
    <t>2,5mg 19</t>
  </si>
  <si>
    <t>2,5mg 20</t>
  </si>
  <si>
    <t>2,5mg 21</t>
  </si>
  <si>
    <t>4mg 1</t>
  </si>
  <si>
    <t>4mg 2</t>
  </si>
  <si>
    <t>4mg 3</t>
  </si>
  <si>
    <t>4mg 4</t>
  </si>
  <si>
    <t>4mg 5</t>
  </si>
  <si>
    <t>4mg 6</t>
  </si>
  <si>
    <t>4mg 7</t>
  </si>
  <si>
    <t>4mg 8</t>
  </si>
  <si>
    <t>4mg 9</t>
  </si>
  <si>
    <t>4mg 10</t>
  </si>
  <si>
    <t>4mg 11</t>
  </si>
  <si>
    <t>4mg 12</t>
  </si>
  <si>
    <t>4mg 13</t>
  </si>
  <si>
    <t>4mg 14</t>
  </si>
  <si>
    <t>4mg 15</t>
  </si>
  <si>
    <t>4mg 16</t>
  </si>
  <si>
    <t>4mg 17</t>
  </si>
  <si>
    <t>4mg 18</t>
  </si>
  <si>
    <t>4mg 19</t>
  </si>
  <si>
    <t>4mg 20</t>
  </si>
  <si>
    <t>4mg 21</t>
  </si>
  <si>
    <t>4mg 22</t>
  </si>
  <si>
    <t>4mg 23</t>
  </si>
  <si>
    <t>5mg 1</t>
  </si>
  <si>
    <t>5mg 2</t>
  </si>
  <si>
    <t>5mg 3</t>
  </si>
  <si>
    <t>5mg 4</t>
  </si>
  <si>
    <t>5mg 5</t>
  </si>
  <si>
    <t>5mg 6</t>
  </si>
  <si>
    <t>5mg 7</t>
  </si>
  <si>
    <t>5mg 8</t>
  </si>
  <si>
    <t>5mg 9</t>
  </si>
  <si>
    <t>5mg 10</t>
  </si>
  <si>
    <t>5mg 11</t>
  </si>
  <si>
    <t>5mg 12</t>
  </si>
  <si>
    <t>5mg 13</t>
  </si>
  <si>
    <t>5mg 14</t>
  </si>
  <si>
    <t>5mg 16</t>
  </si>
  <si>
    <t>5mg 17</t>
  </si>
  <si>
    <t>5mg 18</t>
  </si>
  <si>
    <t>5mg 19</t>
  </si>
  <si>
    <t>5mg 20</t>
  </si>
  <si>
    <t>5mg 21</t>
  </si>
  <si>
    <t>5mg 22</t>
  </si>
  <si>
    <t>5mg 23</t>
  </si>
  <si>
    <t>Mediana Vermelho</t>
  </si>
  <si>
    <t>Mediana Verde</t>
  </si>
  <si>
    <t>Mediana Azul</t>
  </si>
  <si>
    <t>Media Vermelho</t>
  </si>
  <si>
    <t>Media Verde</t>
  </si>
  <si>
    <t>Media Azul</t>
  </si>
  <si>
    <t>Menor Vermelho</t>
  </si>
  <si>
    <t>Menor Verde</t>
  </si>
  <si>
    <t>Menor Azul</t>
  </si>
  <si>
    <t>Maior Vermelho</t>
  </si>
  <si>
    <t>Maior Verde</t>
  </si>
  <si>
    <t>Maior Azul</t>
  </si>
  <si>
    <t>Maximo Vermelho</t>
  </si>
  <si>
    <t>Maximo Verde</t>
  </si>
  <si>
    <t>Maximo Azul</t>
  </si>
  <si>
    <t>Luma</t>
  </si>
  <si>
    <t>Luma Precisa</t>
  </si>
  <si>
    <t>M(0mg)</t>
  </si>
  <si>
    <t>M(1mg)</t>
  </si>
  <si>
    <t>M(2,5mg)</t>
  </si>
  <si>
    <t>M(4mg)</t>
  </si>
  <si>
    <t>M(5mg)</t>
  </si>
  <si>
    <t>MaximoVermelho-MaximoAzul</t>
  </si>
  <si>
    <t>MaximoVermelho-MaximoVerde</t>
  </si>
  <si>
    <t>(MaximoVermelho-MaximoVerde) * (MaximoVermelho-MaximoAzul</t>
  </si>
  <si>
    <t>Mediana Vermelho(Hue)</t>
  </si>
  <si>
    <t>Mediana Verde(Saturation)</t>
  </si>
  <si>
    <t>Media Vermelho(Hue)</t>
  </si>
  <si>
    <t>Media Verde(Saturation)</t>
  </si>
  <si>
    <t>Media Azul(Lighting)</t>
  </si>
  <si>
    <t>Mediana Azul(Lighting)</t>
  </si>
  <si>
    <t>Menor Vermelho(Hue)</t>
  </si>
  <si>
    <t>Menor Verde(Saturation)</t>
  </si>
  <si>
    <t>Menor Azul(Lighting)</t>
  </si>
  <si>
    <t>Maior Vermelho(Hue)</t>
  </si>
  <si>
    <t>Maior Verde(Saturation)</t>
  </si>
  <si>
    <t>Maior Azul(Lighting)</t>
  </si>
  <si>
    <t>Maximo Vermelho(Hue)</t>
  </si>
  <si>
    <t>Maximo Verde(Saturation)</t>
  </si>
  <si>
    <t>Maximo Azul(Lighting)</t>
  </si>
  <si>
    <t>DP(0mg)</t>
  </si>
  <si>
    <t>T(0mg</t>
  </si>
  <si>
    <t>EP(0mg)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</si>
</sst>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3" borderId="0" xfId="0" applyFill="1"/>
    <xf numFmtId="0" fontId="1" fillId="3" borderId="0" xfId="0" applyFont="1" applyFill="1"/>
    <xf numFmtId="0" fontId="1" fillId="4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Dia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433789918172358E-2"/>
          <c:y val="8.2686618320886099E-2"/>
          <c:w val="0.92469491602741716"/>
          <c:h val="0.84486466388457948"/>
        </c:manualLayout>
      </c:layout>
      <c:lineChart>
        <c:grouping val="stacked"/>
        <c:varyColors val="0"/>
        <c:ser>
          <c:idx val="0"/>
          <c:order val="0"/>
          <c:tx>
            <c:strRef>
              <c:f>Planilha1!$A$34</c:f>
              <c:strCache>
                <c:ptCount val="1"/>
                <c:pt idx="0">
                  <c:v>MaximoVermelho-MaximoAzul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(Planilha1!$Z$34,Planilha1!$AW$34,Planilha1!$BV$34,Planilha1!$CW$34,Planilha1!$DW$34)</c:f>
              <c:numCache>
                <c:formatCode>General</c:formatCode>
                <c:ptCount val="5"/>
                <c:pt idx="0">
                  <c:v>26.208333333333343</c:v>
                </c:pt>
                <c:pt idx="1">
                  <c:v>33.263157894736835</c:v>
                </c:pt>
                <c:pt idx="2">
                  <c:v>36.476190476190467</c:v>
                </c:pt>
                <c:pt idx="3">
                  <c:v>41.043478260869577</c:v>
                </c:pt>
                <c:pt idx="4">
                  <c:v>42.409090909090921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F-42E8-A3C0-46F9381FECB1}"/>
            </c:ext>
          </c:extLst>
        </c:ser>
        <c:ser>
          <c:idx val="1"/>
          <c:order val="1"/>
          <c:tx>
            <c:strRef>
              <c:f>Planilha1!$A$35</c:f>
              <c:strCache>
                <c:ptCount val="1"/>
                <c:pt idx="0">
                  <c:v>MaximoVermelho-MaximoVerde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(Planilha1!$Z$35,Planilha1!$AW$35,Planilha1!$BV$35,Planilha1!$CW$35,Planilha1!$DW$35)</c:f>
              <c:numCache>
                <c:formatCode>General</c:formatCode>
                <c:ptCount val="5"/>
                <c:pt idx="0">
                  <c:v>-1</c:v>
                </c:pt>
                <c:pt idx="1">
                  <c:v>2.5263157894736707</c:v>
                </c:pt>
                <c:pt idx="2">
                  <c:v>2.3809523809523796</c:v>
                </c:pt>
                <c:pt idx="3">
                  <c:v>3.3043478260869676</c:v>
                </c:pt>
                <c:pt idx="4">
                  <c:v>4.863636363636374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1F-42E8-A3C0-46F9381FECB1}"/>
            </c:ext>
          </c:extLst>
        </c:ser>
        <c:ser>
          <c:idx val="2"/>
          <c:order val="2"/>
          <c:tx>
            <c:strRef>
              <c:f>Planilha1!$A$36</c:f>
              <c:strCache>
                <c:ptCount val="1"/>
                <c:pt idx="0">
                  <c:v>(MaximoVermelho-MaximoVerde) * (MaximoVermelho-MaximoAzul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(Planilha1!$AC$36,Planilha1!$AZ$36,Planilha1!$BY$36,Planilha1!$CZ$36,Planilha1!$DZ$36)</c:f>
                <c:numCache>
                  <c:formatCode>General</c:formatCode>
                  <c:ptCount val="5"/>
                  <c:pt idx="0">
                    <c:v>6.9676995888446926</c:v>
                  </c:pt>
                  <c:pt idx="1">
                    <c:v>6.6447238144739398</c:v>
                  </c:pt>
                  <c:pt idx="2">
                    <c:v>7.3754203539069811</c:v>
                  </c:pt>
                  <c:pt idx="3">
                    <c:v>12.103771679986824</c:v>
                  </c:pt>
                  <c:pt idx="4">
                    <c:v>16.705840424523689</c:v>
                  </c:pt>
                </c:numCache>
              </c:numRef>
            </c:plus>
            <c:minus>
              <c:numRef>
                <c:f>(Planilha1!$AC$36,Planilha1!$AZ$36,Planilha1!$BY$36,Planilha1!$CZ$36,Planilha1!$DZ$36)</c:f>
                <c:numCache>
                  <c:formatCode>General</c:formatCode>
                  <c:ptCount val="5"/>
                  <c:pt idx="0">
                    <c:v>6.9676995888446926</c:v>
                  </c:pt>
                  <c:pt idx="1">
                    <c:v>6.6447238144739398</c:v>
                  </c:pt>
                  <c:pt idx="2">
                    <c:v>7.3754203539069811</c:v>
                  </c:pt>
                  <c:pt idx="3">
                    <c:v>12.103771679986824</c:v>
                  </c:pt>
                  <c:pt idx="4">
                    <c:v>16.705840424523689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(Planilha1!$Z$36,Planilha1!$AW$36,Planilha1!$BV$36,Planilha1!$CW$36,Planilha1!$DW$36)</c:f>
              <c:numCache>
                <c:formatCode>General</c:formatCode>
                <c:ptCount val="5"/>
                <c:pt idx="0">
                  <c:v>-26.208333333333343</c:v>
                </c:pt>
                <c:pt idx="1">
                  <c:v>84.033240997229456</c:v>
                </c:pt>
                <c:pt idx="2">
                  <c:v>86.848072562358212</c:v>
                </c:pt>
                <c:pt idx="3">
                  <c:v>135.62192816635209</c:v>
                </c:pt>
                <c:pt idx="4">
                  <c:v>206.26239669421537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1F-42E8-A3C0-46F9381FE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202608"/>
        <c:axId val="570206544"/>
      </c:lineChart>
      <c:catAx>
        <c:axId val="570202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206544"/>
        <c:crosses val="autoZero"/>
        <c:auto val="1"/>
        <c:lblAlgn val="ctr"/>
        <c:lblOffset val="100"/>
        <c:noMultiLvlLbl val="0"/>
      </c:catAx>
      <c:valAx>
        <c:axId val="5702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2026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583871</xdr:colOff>
      <xdr:row>59</xdr:row>
      <xdr:rowOff>73850</xdr:rowOff>
    </xdr:from>
    <xdr:to>
      <xdr:col>16</xdr:col>
      <xdr:colOff>502228</xdr:colOff>
      <xdr:row>96</xdr:row>
      <xdr:rowOff>186790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4177E0C-2D45-4DDE-B315-4E34F7527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3AA7E-CCD8-472B-A8DB-7BD71825B9A4}">
  <sheetPr codeName="Planilha1"/>
  <dimension ref="A1:DZ36"/>
  <sheetViews>
    <sheetView tabSelected="1" topLeftCell="A34" zoomScale="55" zoomScaleNormal="55" workbookViewId="0">
      <selection activeCell="T83" sqref="T83"/>
    </sheetView>
  </sheetViews>
  <sheetFormatPr defaultRowHeight="15" x14ac:dyDescent="0.25"/>
  <cols>
    <col min="1" max="1" width="74.85546875" style="1" customWidth="1"/>
    <col min="26" max="26" width="9.140625" style="4"/>
    <col min="27" max="27" width="11.42578125" style="4" customWidth="1"/>
    <col min="28" max="28" width="9.140625" style="4"/>
    <col min="29" max="29" width="11.42578125" style="4" customWidth="1"/>
    <col min="49" max="49" width="9.140625" style="4"/>
    <col min="50" max="50" width="11.42578125" style="4" customWidth="1"/>
    <col min="51" max="51" width="9.140625" style="4"/>
    <col min="52" max="52" width="11.42578125" style="4" customWidth="1"/>
    <col min="74" max="74" width="9.140625" style="4"/>
    <col min="75" max="75" width="11.42578125" style="4" customWidth="1"/>
    <col min="76" max="76" width="9.140625" style="4"/>
    <col min="77" max="77" width="11.42578125" style="4" customWidth="1"/>
    <col min="101" max="101" width="9.140625" style="4"/>
    <col min="102" max="102" width="11.42578125" style="4" customWidth="1"/>
    <col min="103" max="103" width="9.140625" style="4"/>
    <col min="104" max="104" width="11.42578125" style="4" customWidth="1"/>
    <col min="127" max="127" width="9.140625" style="4"/>
    <col min="128" max="128" width="11.42578125" style="4" customWidth="1"/>
    <col min="129" max="129" width="9.140625" style="4"/>
    <col min="130" max="130" width="11.42578125" style="4" customWidth="1"/>
  </cols>
  <sheetData>
    <row r="1" spans="1:130" s="2" customFormat="1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4" t="s">
        <v>126</v>
      </c>
      <c r="AA1" s="4" t="s">
        <v>149</v>
      </c>
      <c r="AB1" s="4" t="s">
        <v>150</v>
      </c>
      <c r="AC1" s="4" t="s">
        <v>151</v>
      </c>
      <c r="AD1" s="3" t="s">
        <v>24</v>
      </c>
      <c r="AE1" s="3" t="s">
        <v>25</v>
      </c>
      <c r="AF1" s="3" t="s">
        <v>26</v>
      </c>
      <c r="AG1" s="3" t="s">
        <v>27</v>
      </c>
      <c r="AH1" s="3" t="s">
        <v>28</v>
      </c>
      <c r="AI1" s="3" t="s">
        <v>29</v>
      </c>
      <c r="AJ1" s="3" t="s">
        <v>30</v>
      </c>
      <c r="AK1" s="3" t="s">
        <v>31</v>
      </c>
      <c r="AL1" s="3" t="s">
        <v>32</v>
      </c>
      <c r="AM1" s="3" t="s">
        <v>33</v>
      </c>
      <c r="AN1" s="3" t="s">
        <v>34</v>
      </c>
      <c r="AO1" s="3" t="s">
        <v>35</v>
      </c>
      <c r="AP1" s="3" t="s">
        <v>36</v>
      </c>
      <c r="AQ1" s="3" t="s">
        <v>37</v>
      </c>
      <c r="AR1" s="3" t="s">
        <v>38</v>
      </c>
      <c r="AS1" s="3" t="s">
        <v>39</v>
      </c>
      <c r="AT1" s="3" t="s">
        <v>40</v>
      </c>
      <c r="AU1" s="3" t="s">
        <v>41</v>
      </c>
      <c r="AV1" s="3" t="s">
        <v>42</v>
      </c>
      <c r="AW1" s="4" t="s">
        <v>127</v>
      </c>
      <c r="AX1" s="4" t="s">
        <v>149</v>
      </c>
      <c r="AY1" s="4" t="s">
        <v>150</v>
      </c>
      <c r="AZ1" s="4" t="s">
        <v>151</v>
      </c>
      <c r="BA1" s="3" t="s">
        <v>43</v>
      </c>
      <c r="BB1" s="3" t="s">
        <v>44</v>
      </c>
      <c r="BC1" s="3" t="s">
        <v>45</v>
      </c>
      <c r="BD1" s="3" t="s">
        <v>46</v>
      </c>
      <c r="BE1" s="3" t="s">
        <v>47</v>
      </c>
      <c r="BF1" s="3" t="s">
        <v>48</v>
      </c>
      <c r="BG1" s="3" t="s">
        <v>49</v>
      </c>
      <c r="BH1" s="3" t="s">
        <v>50</v>
      </c>
      <c r="BI1" s="3" t="s">
        <v>51</v>
      </c>
      <c r="BJ1" s="3" t="s">
        <v>52</v>
      </c>
      <c r="BK1" s="3" t="s">
        <v>53</v>
      </c>
      <c r="BL1" s="3" t="s">
        <v>54</v>
      </c>
      <c r="BM1" s="3" t="s">
        <v>55</v>
      </c>
      <c r="BN1" s="3" t="s">
        <v>56</v>
      </c>
      <c r="BO1" s="3" t="s">
        <v>57</v>
      </c>
      <c r="BP1" s="3" t="s">
        <v>58</v>
      </c>
      <c r="BQ1" s="3" t="s">
        <v>59</v>
      </c>
      <c r="BR1" s="3" t="s">
        <v>60</v>
      </c>
      <c r="BS1" s="3" t="s">
        <v>61</v>
      </c>
      <c r="BT1" s="3" t="s">
        <v>62</v>
      </c>
      <c r="BU1" s="3" t="s">
        <v>63</v>
      </c>
      <c r="BV1" s="4" t="s">
        <v>128</v>
      </c>
      <c r="BW1" s="4" t="s">
        <v>149</v>
      </c>
      <c r="BX1" s="4" t="s">
        <v>150</v>
      </c>
      <c r="BY1" s="4" t="s">
        <v>151</v>
      </c>
      <c r="BZ1" s="3" t="s">
        <v>64</v>
      </c>
      <c r="CA1" s="3" t="s">
        <v>65</v>
      </c>
      <c r="CB1" s="3" t="s">
        <v>66</v>
      </c>
      <c r="CC1" s="3" t="s">
        <v>67</v>
      </c>
      <c r="CD1" s="3" t="s">
        <v>68</v>
      </c>
      <c r="CE1" s="3" t="s">
        <v>69</v>
      </c>
      <c r="CF1" s="3" t="s">
        <v>70</v>
      </c>
      <c r="CG1" s="3" t="s">
        <v>71</v>
      </c>
      <c r="CH1" s="3" t="s">
        <v>72</v>
      </c>
      <c r="CI1" s="3" t="s">
        <v>73</v>
      </c>
      <c r="CJ1" s="3" t="s">
        <v>74</v>
      </c>
      <c r="CK1" s="3" t="s">
        <v>75</v>
      </c>
      <c r="CL1" s="3" t="s">
        <v>76</v>
      </c>
      <c r="CM1" s="3" t="s">
        <v>77</v>
      </c>
      <c r="CN1" s="3" t="s">
        <v>78</v>
      </c>
      <c r="CO1" s="3" t="s">
        <v>79</v>
      </c>
      <c r="CP1" s="3" t="s">
        <v>80</v>
      </c>
      <c r="CQ1" s="3" t="s">
        <v>81</v>
      </c>
      <c r="CR1" s="3" t="s">
        <v>82</v>
      </c>
      <c r="CS1" s="3" t="s">
        <v>83</v>
      </c>
      <c r="CT1" s="3" t="s">
        <v>84</v>
      </c>
      <c r="CU1" s="3" t="s">
        <v>85</v>
      </c>
      <c r="CV1" s="3" t="s">
        <v>86</v>
      </c>
      <c r="CW1" s="4" t="s">
        <v>129</v>
      </c>
      <c r="CX1" s="4" t="s">
        <v>149</v>
      </c>
      <c r="CY1" s="4" t="s">
        <v>150</v>
      </c>
      <c r="CZ1" s="4" t="s">
        <v>151</v>
      </c>
      <c r="DA1" s="3" t="s">
        <v>87</v>
      </c>
      <c r="DB1" s="3" t="s">
        <v>88</v>
      </c>
      <c r="DC1" s="3" t="s">
        <v>89</v>
      </c>
      <c r="DD1" s="3" t="s">
        <v>90</v>
      </c>
      <c r="DE1" s="3" t="s">
        <v>91</v>
      </c>
      <c r="DF1" s="3" t="s">
        <v>92</v>
      </c>
      <c r="DG1" s="3" t="s">
        <v>93</v>
      </c>
      <c r="DH1" s="3" t="s">
        <v>94</v>
      </c>
      <c r="DI1" s="3" t="s">
        <v>95</v>
      </c>
      <c r="DJ1" s="3" t="s">
        <v>96</v>
      </c>
      <c r="DK1" s="3" t="s">
        <v>97</v>
      </c>
      <c r="DL1" s="3" t="s">
        <v>98</v>
      </c>
      <c r="DM1" s="3" t="s">
        <v>99</v>
      </c>
      <c r="DN1" s="3" t="s">
        <v>100</v>
      </c>
      <c r="DO1" s="3" t="s">
        <v>101</v>
      </c>
      <c r="DP1" s="3" t="s">
        <v>102</v>
      </c>
      <c r="DQ1" s="3" t="s">
        <v>103</v>
      </c>
      <c r="DR1" s="3" t="s">
        <v>104</v>
      </c>
      <c r="DS1" s="3" t="s">
        <v>105</v>
      </c>
      <c r="DT1" s="3" t="s">
        <v>106</v>
      </c>
      <c r="DU1" s="3" t="s">
        <v>107</v>
      </c>
      <c r="DV1" s="3" t="s">
        <v>108</v>
      </c>
      <c r="DW1" s="4" t="s">
        <v>130</v>
      </c>
      <c r="DX1" s="4" t="s">
        <v>149</v>
      </c>
      <c r="DY1" s="4" t="s">
        <v>150</v>
      </c>
      <c r="DZ1" s="4" t="s">
        <v>151</v>
      </c>
    </row>
    <row r="2" spans="1:130" x14ac:dyDescent="0.25">
      <c r="A2" s="1" t="s">
        <v>109</v>
      </c>
      <c r="B2">
        <v>154</v>
      </c>
      <c r="C2">
        <v>154</v>
      </c>
      <c r="D2">
        <v>153</v>
      </c>
      <c r="E2">
        <v>156</v>
      </c>
      <c r="F2">
        <v>159</v>
      </c>
      <c r="G2">
        <v>159</v>
      </c>
      <c r="H2">
        <v>156</v>
      </c>
      <c r="I2">
        <v>156</v>
      </c>
      <c r="J2">
        <v>155</v>
      </c>
      <c r="K2">
        <v>152</v>
      </c>
      <c r="L2">
        <v>152</v>
      </c>
      <c r="M2">
        <v>153</v>
      </c>
      <c r="N2">
        <v>155</v>
      </c>
      <c r="O2">
        <v>154</v>
      </c>
      <c r="P2">
        <v>153</v>
      </c>
      <c r="Q2">
        <v>154</v>
      </c>
      <c r="R2">
        <v>154</v>
      </c>
      <c r="S2">
        <v>155</v>
      </c>
      <c r="T2">
        <v>151</v>
      </c>
      <c r="U2">
        <v>153</v>
      </c>
      <c r="V2">
        <v>154</v>
      </c>
      <c r="W2">
        <v>148</v>
      </c>
      <c r="X2">
        <v>153</v>
      </c>
      <c r="Y2">
        <v>154</v>
      </c>
      <c r="Z2" s="4">
        <f>AVERAGE(B2:Y2)</f>
        <v>154.04166666666666</v>
      </c>
      <c r="AA2" s="4">
        <f>_xlfn.STDEV.S(B2:Y2)</f>
        <v>2.3121449982113198</v>
      </c>
      <c r="AB2" s="4">
        <f>COUNT(B2:Y2)</f>
        <v>24</v>
      </c>
      <c r="AC2" s="4">
        <f>AA2/SQRT(AB2)</f>
        <v>0.47196462141217149</v>
      </c>
      <c r="AD2">
        <v>147</v>
      </c>
      <c r="AE2">
        <v>140</v>
      </c>
      <c r="AF2">
        <v>150</v>
      </c>
      <c r="AG2">
        <v>151</v>
      </c>
      <c r="AH2">
        <v>151</v>
      </c>
      <c r="AI2">
        <v>154</v>
      </c>
      <c r="AJ2">
        <v>156</v>
      </c>
      <c r="AK2">
        <v>156</v>
      </c>
      <c r="AL2">
        <v>156</v>
      </c>
      <c r="AM2">
        <v>154</v>
      </c>
      <c r="AN2">
        <v>153</v>
      </c>
      <c r="AO2">
        <v>154</v>
      </c>
      <c r="AP2">
        <v>152</v>
      </c>
      <c r="AQ2">
        <v>153</v>
      </c>
      <c r="AR2">
        <v>153</v>
      </c>
      <c r="AS2">
        <v>156</v>
      </c>
      <c r="AT2">
        <v>155</v>
      </c>
      <c r="AU2">
        <v>157</v>
      </c>
      <c r="AV2">
        <v>156</v>
      </c>
      <c r="AW2" s="4">
        <f t="shared" ref="AW2:AW33" si="0">AVERAGE(AD2:AV2)</f>
        <v>152.84210526315789</v>
      </c>
      <c r="AX2" s="4">
        <f>_xlfn.STDEV.S(AD2:AV2)</f>
        <v>4.017505554096096</v>
      </c>
      <c r="AY2" s="4">
        <f>COUNT(AD2:AV2)</f>
        <v>19</v>
      </c>
      <c r="AZ2" s="4">
        <f>AX2/SQRT(AY2)</f>
        <v>0.92167898502201362</v>
      </c>
      <c r="BA2">
        <v>158</v>
      </c>
      <c r="BB2">
        <v>157</v>
      </c>
      <c r="BC2">
        <v>159</v>
      </c>
      <c r="BD2">
        <v>152</v>
      </c>
      <c r="BE2">
        <v>152</v>
      </c>
      <c r="BF2">
        <v>152</v>
      </c>
      <c r="BG2">
        <v>154</v>
      </c>
      <c r="BH2">
        <v>153</v>
      </c>
      <c r="BI2">
        <v>158</v>
      </c>
      <c r="BJ2">
        <v>159</v>
      </c>
      <c r="BK2">
        <v>152</v>
      </c>
      <c r="BL2">
        <v>151</v>
      </c>
      <c r="BM2">
        <v>152</v>
      </c>
      <c r="BN2">
        <v>151</v>
      </c>
      <c r="BO2">
        <v>150</v>
      </c>
      <c r="BP2">
        <v>152</v>
      </c>
      <c r="BQ2">
        <v>154</v>
      </c>
      <c r="BR2">
        <v>154</v>
      </c>
      <c r="BS2">
        <v>152</v>
      </c>
      <c r="BT2">
        <v>154</v>
      </c>
      <c r="BU2">
        <v>154</v>
      </c>
      <c r="BV2" s="4">
        <f t="shared" ref="BV2:BV33" si="1">AVERAGE(BA2:BU2)</f>
        <v>153.8095238095238</v>
      </c>
      <c r="BW2" s="4">
        <f>_xlfn.STDEV.S(BA2:BU2)</f>
        <v>2.7680145884559133</v>
      </c>
      <c r="BX2" s="4">
        <f>COUNT(BA2:BU2)</f>
        <v>21</v>
      </c>
      <c r="BY2" s="4">
        <f>BW2/SQRT(BX2)</f>
        <v>0.60403030363529808</v>
      </c>
      <c r="BZ2">
        <v>149</v>
      </c>
      <c r="CA2">
        <v>149</v>
      </c>
      <c r="CB2">
        <v>150</v>
      </c>
      <c r="CC2">
        <v>152</v>
      </c>
      <c r="CD2">
        <v>150</v>
      </c>
      <c r="CE2">
        <v>151</v>
      </c>
      <c r="CF2">
        <v>154</v>
      </c>
      <c r="CG2">
        <v>155</v>
      </c>
      <c r="CH2">
        <v>154</v>
      </c>
      <c r="CI2">
        <v>150</v>
      </c>
      <c r="CJ2">
        <v>150</v>
      </c>
      <c r="CK2">
        <v>150</v>
      </c>
      <c r="CL2">
        <v>150</v>
      </c>
      <c r="CM2">
        <v>149</v>
      </c>
      <c r="CN2">
        <v>150</v>
      </c>
      <c r="CO2">
        <v>154</v>
      </c>
      <c r="CP2">
        <v>154</v>
      </c>
      <c r="CQ2">
        <v>155</v>
      </c>
      <c r="CR2">
        <v>161</v>
      </c>
      <c r="CS2">
        <v>159</v>
      </c>
      <c r="CT2">
        <v>158</v>
      </c>
      <c r="CU2">
        <v>159</v>
      </c>
      <c r="CV2">
        <v>157</v>
      </c>
      <c r="CW2" s="4">
        <f t="shared" ref="CW2:CW33" si="2">AVERAGE(BZ2:CV2)</f>
        <v>153.04347826086956</v>
      </c>
      <c r="CX2" s="4">
        <f>_xlfn.STDEV.S(BZ2:CV2)</f>
        <v>3.7231250420918425</v>
      </c>
      <c r="CY2" s="4">
        <f>COUNT(BZ2:CV2)</f>
        <v>23</v>
      </c>
      <c r="CZ2" s="4">
        <f>CX2/SQRT(CY2)</f>
        <v>0.77632523661300246</v>
      </c>
      <c r="DA2">
        <v>144</v>
      </c>
      <c r="DB2">
        <v>146</v>
      </c>
      <c r="DC2">
        <v>151</v>
      </c>
      <c r="DD2">
        <v>155</v>
      </c>
      <c r="DE2">
        <v>150</v>
      </c>
      <c r="DF2">
        <v>151</v>
      </c>
      <c r="DG2">
        <v>151</v>
      </c>
      <c r="DH2">
        <v>153</v>
      </c>
      <c r="DI2">
        <v>154</v>
      </c>
      <c r="DJ2">
        <v>153</v>
      </c>
      <c r="DK2">
        <v>147</v>
      </c>
      <c r="DL2">
        <v>151</v>
      </c>
      <c r="DM2">
        <v>149</v>
      </c>
      <c r="DN2">
        <v>150</v>
      </c>
      <c r="DO2">
        <v>150</v>
      </c>
      <c r="DP2">
        <v>151</v>
      </c>
      <c r="DQ2">
        <v>153</v>
      </c>
      <c r="DR2">
        <v>151</v>
      </c>
      <c r="DS2">
        <v>158</v>
      </c>
      <c r="DT2">
        <v>156</v>
      </c>
      <c r="DU2">
        <v>157</v>
      </c>
      <c r="DV2">
        <v>161</v>
      </c>
      <c r="DW2" s="4">
        <f t="shared" ref="DW2:DW33" si="3">AVERAGE(DA2:DV2)</f>
        <v>151.90909090909091</v>
      </c>
      <c r="DX2" s="4">
        <f>_xlfn.STDEV.S(DA2:DV2)</f>
        <v>3.9389277113386467</v>
      </c>
      <c r="DY2" s="4">
        <f>COUNT(DA2:DV2)</f>
        <v>22</v>
      </c>
      <c r="DZ2" s="4">
        <f>DX2/SQRT(DY2)</f>
        <v>0.83978220973036455</v>
      </c>
    </row>
    <row r="3" spans="1:130" x14ac:dyDescent="0.25">
      <c r="A3" s="1" t="s">
        <v>110</v>
      </c>
      <c r="B3">
        <v>155</v>
      </c>
      <c r="C3">
        <v>155</v>
      </c>
      <c r="D3">
        <v>154</v>
      </c>
      <c r="E3">
        <v>156</v>
      </c>
      <c r="F3">
        <v>161</v>
      </c>
      <c r="G3">
        <v>161</v>
      </c>
      <c r="H3">
        <v>156</v>
      </c>
      <c r="I3">
        <v>156</v>
      </c>
      <c r="J3">
        <v>156</v>
      </c>
      <c r="K3">
        <v>154</v>
      </c>
      <c r="L3">
        <v>154</v>
      </c>
      <c r="M3">
        <v>155</v>
      </c>
      <c r="N3">
        <v>155</v>
      </c>
      <c r="O3">
        <v>156</v>
      </c>
      <c r="P3">
        <v>157</v>
      </c>
      <c r="Q3">
        <v>156</v>
      </c>
      <c r="R3">
        <v>156</v>
      </c>
      <c r="S3">
        <v>157</v>
      </c>
      <c r="T3">
        <v>152</v>
      </c>
      <c r="U3">
        <v>152</v>
      </c>
      <c r="V3">
        <v>155</v>
      </c>
      <c r="W3">
        <v>151</v>
      </c>
      <c r="X3">
        <v>156</v>
      </c>
      <c r="Y3">
        <v>156</v>
      </c>
      <c r="Z3" s="4">
        <f>AVERAGE(B3:Y3)</f>
        <v>155.5</v>
      </c>
      <c r="AA3" s="4">
        <f>_xlfn.STDEV.S(B3:Y3)</f>
        <v>2.2841609628806432</v>
      </c>
      <c r="AB3" s="4">
        <f>COUNT(B3:Y3)</f>
        <v>24</v>
      </c>
      <c r="AC3" s="4">
        <f t="shared" ref="AC3:AC36" si="4">AA3/SQRT(AB3)</f>
        <v>0.46625240412015695</v>
      </c>
      <c r="AD3">
        <v>145</v>
      </c>
      <c r="AE3">
        <v>141</v>
      </c>
      <c r="AF3">
        <v>150</v>
      </c>
      <c r="AG3">
        <v>150</v>
      </c>
      <c r="AH3">
        <v>151</v>
      </c>
      <c r="AI3">
        <v>152</v>
      </c>
      <c r="AJ3">
        <v>154</v>
      </c>
      <c r="AK3">
        <v>155</v>
      </c>
      <c r="AL3">
        <v>155</v>
      </c>
      <c r="AM3">
        <v>154</v>
      </c>
      <c r="AN3">
        <v>153</v>
      </c>
      <c r="AO3">
        <v>154</v>
      </c>
      <c r="AP3">
        <v>151</v>
      </c>
      <c r="AQ3">
        <v>154</v>
      </c>
      <c r="AR3">
        <v>151</v>
      </c>
      <c r="AS3">
        <v>154</v>
      </c>
      <c r="AT3">
        <v>154</v>
      </c>
      <c r="AU3">
        <v>155</v>
      </c>
      <c r="AV3">
        <v>154</v>
      </c>
      <c r="AW3" s="4">
        <f t="shared" si="0"/>
        <v>151.94736842105263</v>
      </c>
      <c r="AX3" s="4">
        <f t="shared" ref="AX3:AX36" si="5">_xlfn.STDEV.S(AD3:AV3)</f>
        <v>3.628187245727331</v>
      </c>
      <c r="AY3" s="4">
        <f t="shared" ref="AY3:AY36" si="6">COUNT(AD3:AV3)</f>
        <v>19</v>
      </c>
      <c r="AZ3" s="4">
        <f t="shared" ref="AZ3:AZ36" si="7">AX3/SQRT(AY3)</f>
        <v>0.83236323959834779</v>
      </c>
      <c r="BA3">
        <v>157</v>
      </c>
      <c r="BB3">
        <v>156</v>
      </c>
      <c r="BC3">
        <v>158</v>
      </c>
      <c r="BD3">
        <v>151</v>
      </c>
      <c r="BE3">
        <v>151</v>
      </c>
      <c r="BF3">
        <v>153</v>
      </c>
      <c r="BG3">
        <v>153</v>
      </c>
      <c r="BH3">
        <v>153</v>
      </c>
      <c r="BI3">
        <v>157</v>
      </c>
      <c r="BJ3">
        <v>158</v>
      </c>
      <c r="BK3">
        <v>151</v>
      </c>
      <c r="BL3">
        <v>151</v>
      </c>
      <c r="BM3">
        <v>150</v>
      </c>
      <c r="BN3">
        <v>150</v>
      </c>
      <c r="BO3">
        <v>152</v>
      </c>
      <c r="BP3">
        <v>151</v>
      </c>
      <c r="BQ3">
        <v>151</v>
      </c>
      <c r="BR3">
        <v>151</v>
      </c>
      <c r="BS3">
        <v>150</v>
      </c>
      <c r="BT3">
        <v>152</v>
      </c>
      <c r="BU3">
        <v>151</v>
      </c>
      <c r="BV3" s="4">
        <f t="shared" si="1"/>
        <v>152.71428571428572</v>
      </c>
      <c r="BW3" s="4">
        <f>_xlfn.STDEV.S(BA3:BU3)</f>
        <v>2.7412197493608041</v>
      </c>
      <c r="BX3" s="4">
        <f t="shared" ref="BX3:BX36" si="8">COUNT(BA3:BU3)</f>
        <v>21</v>
      </c>
      <c r="BY3" s="4">
        <f t="shared" ref="BY3:BY36" si="9">BW3/SQRT(BX3)</f>
        <v>0.59818319037875056</v>
      </c>
      <c r="BZ3">
        <v>149</v>
      </c>
      <c r="CA3">
        <v>149</v>
      </c>
      <c r="CB3">
        <v>149</v>
      </c>
      <c r="CC3">
        <v>148</v>
      </c>
      <c r="CD3">
        <v>147</v>
      </c>
      <c r="CE3">
        <v>145</v>
      </c>
      <c r="CF3">
        <v>150</v>
      </c>
      <c r="CG3">
        <v>152</v>
      </c>
      <c r="CH3">
        <v>152</v>
      </c>
      <c r="CI3">
        <v>149</v>
      </c>
      <c r="CJ3">
        <v>147</v>
      </c>
      <c r="CK3">
        <v>148</v>
      </c>
      <c r="CL3">
        <v>145</v>
      </c>
      <c r="CM3">
        <v>145</v>
      </c>
      <c r="CN3">
        <v>144</v>
      </c>
      <c r="CO3">
        <v>150</v>
      </c>
      <c r="CP3">
        <v>150</v>
      </c>
      <c r="CQ3">
        <v>151</v>
      </c>
      <c r="CR3">
        <v>159</v>
      </c>
      <c r="CS3">
        <v>158</v>
      </c>
      <c r="CT3">
        <v>157</v>
      </c>
      <c r="CU3">
        <v>157</v>
      </c>
      <c r="CV3">
        <v>155</v>
      </c>
      <c r="CW3" s="4">
        <f t="shared" si="2"/>
        <v>150.2608695652174</v>
      </c>
      <c r="CX3" s="4">
        <f t="shared" ref="CX3:CX36" si="10">_xlfn.STDEV.S(BZ3:CV3)</f>
        <v>4.3507302553641169</v>
      </c>
      <c r="CY3" s="4">
        <f t="shared" ref="CY3:CY36" si="11">COUNT(BZ3:CV3)</f>
        <v>23</v>
      </c>
      <c r="CZ3" s="4">
        <f t="shared" ref="CZ3:CZ36" si="12">CX3/SQRT(CY3)</f>
        <v>0.90718996991763623</v>
      </c>
      <c r="DA3">
        <v>139</v>
      </c>
      <c r="DB3">
        <v>142</v>
      </c>
      <c r="DC3">
        <v>147</v>
      </c>
      <c r="DD3">
        <v>153</v>
      </c>
      <c r="DE3">
        <v>147</v>
      </c>
      <c r="DF3">
        <v>148</v>
      </c>
      <c r="DG3">
        <v>145</v>
      </c>
      <c r="DH3">
        <v>149</v>
      </c>
      <c r="DI3">
        <v>150</v>
      </c>
      <c r="DJ3">
        <v>150</v>
      </c>
      <c r="DK3">
        <v>148</v>
      </c>
      <c r="DL3">
        <v>146</v>
      </c>
      <c r="DM3">
        <v>145</v>
      </c>
      <c r="DN3">
        <v>146</v>
      </c>
      <c r="DO3">
        <v>145</v>
      </c>
      <c r="DP3">
        <v>146</v>
      </c>
      <c r="DQ3">
        <v>146</v>
      </c>
      <c r="DR3">
        <v>146</v>
      </c>
      <c r="DS3">
        <v>152</v>
      </c>
      <c r="DT3">
        <v>155</v>
      </c>
      <c r="DU3">
        <v>151</v>
      </c>
      <c r="DV3">
        <v>155</v>
      </c>
      <c r="DW3" s="4">
        <f t="shared" si="3"/>
        <v>147.77272727272728</v>
      </c>
      <c r="DX3" s="4">
        <f t="shared" ref="DX3:DX36" si="13">_xlfn.STDEV.S(DA3:DV3)</f>
        <v>3.9149508077164681</v>
      </c>
      <c r="DY3" s="4">
        <f t="shared" ref="DY3:DY36" si="14">COUNT(DA3:DV3)</f>
        <v>22</v>
      </c>
      <c r="DZ3" s="4">
        <f t="shared" ref="DZ3:DZ36" si="15">DX3/SQRT(DY3)</f>
        <v>0.83467031670212666</v>
      </c>
    </row>
    <row r="4" spans="1:130" x14ac:dyDescent="0.25">
      <c r="A4" s="1" t="s">
        <v>111</v>
      </c>
      <c r="B4">
        <v>126</v>
      </c>
      <c r="C4">
        <v>127</v>
      </c>
      <c r="D4">
        <v>125</v>
      </c>
      <c r="E4">
        <v>130</v>
      </c>
      <c r="F4">
        <v>134</v>
      </c>
      <c r="G4">
        <v>135</v>
      </c>
      <c r="H4">
        <v>130</v>
      </c>
      <c r="I4">
        <v>129</v>
      </c>
      <c r="J4">
        <v>128</v>
      </c>
      <c r="K4">
        <v>128</v>
      </c>
      <c r="L4">
        <v>129</v>
      </c>
      <c r="M4">
        <v>128</v>
      </c>
      <c r="N4">
        <v>131</v>
      </c>
      <c r="O4">
        <v>131</v>
      </c>
      <c r="P4">
        <v>132</v>
      </c>
      <c r="Q4">
        <v>130</v>
      </c>
      <c r="R4">
        <v>131</v>
      </c>
      <c r="S4">
        <v>131</v>
      </c>
      <c r="T4">
        <v>123</v>
      </c>
      <c r="U4">
        <v>124</v>
      </c>
      <c r="V4">
        <v>128</v>
      </c>
      <c r="W4">
        <v>121</v>
      </c>
      <c r="X4">
        <v>128</v>
      </c>
      <c r="Y4">
        <v>130</v>
      </c>
      <c r="Z4" s="4">
        <f>AVERAGE(B4:Y4)</f>
        <v>128.70833333333334</v>
      </c>
      <c r="AA4" s="4">
        <f>_xlfn.STDEV.S(B4:Y4)</f>
        <v>3.2767848328170266</v>
      </c>
      <c r="AB4" s="4">
        <f>COUNT(B4:Y4)</f>
        <v>24</v>
      </c>
      <c r="AC4" s="4">
        <f t="shared" si="4"/>
        <v>0.66887090310773323</v>
      </c>
      <c r="AD4">
        <v>116</v>
      </c>
      <c r="AE4">
        <v>114</v>
      </c>
      <c r="AF4">
        <v>119</v>
      </c>
      <c r="AG4">
        <v>116</v>
      </c>
      <c r="AH4">
        <v>119</v>
      </c>
      <c r="AI4">
        <v>117</v>
      </c>
      <c r="AJ4">
        <v>123</v>
      </c>
      <c r="AK4">
        <v>127</v>
      </c>
      <c r="AL4">
        <v>123</v>
      </c>
      <c r="AM4">
        <v>123</v>
      </c>
      <c r="AN4">
        <v>122</v>
      </c>
      <c r="AO4">
        <v>123</v>
      </c>
      <c r="AP4">
        <v>120</v>
      </c>
      <c r="AQ4">
        <v>123</v>
      </c>
      <c r="AR4">
        <v>120</v>
      </c>
      <c r="AS4">
        <v>127</v>
      </c>
      <c r="AT4">
        <v>128</v>
      </c>
      <c r="AU4">
        <v>129</v>
      </c>
      <c r="AV4">
        <v>127</v>
      </c>
      <c r="AW4" s="4">
        <f t="shared" si="0"/>
        <v>121.89473684210526</v>
      </c>
      <c r="AX4" s="4">
        <f t="shared" si="5"/>
        <v>4.4208437711734172</v>
      </c>
      <c r="AY4" s="4">
        <f t="shared" si="6"/>
        <v>19</v>
      </c>
      <c r="AZ4" s="4">
        <f t="shared" si="7"/>
        <v>1.0142111180908513</v>
      </c>
      <c r="BA4">
        <v>124</v>
      </c>
      <c r="BB4">
        <v>121</v>
      </c>
      <c r="BC4">
        <v>127</v>
      </c>
      <c r="BD4">
        <v>119</v>
      </c>
      <c r="BE4">
        <v>121</v>
      </c>
      <c r="BF4">
        <v>121</v>
      </c>
      <c r="BG4">
        <v>121</v>
      </c>
      <c r="BH4">
        <v>119</v>
      </c>
      <c r="BI4">
        <v>121</v>
      </c>
      <c r="BJ4">
        <v>124</v>
      </c>
      <c r="BK4">
        <v>121</v>
      </c>
      <c r="BL4">
        <v>120</v>
      </c>
      <c r="BM4">
        <v>121</v>
      </c>
      <c r="BN4">
        <v>121</v>
      </c>
      <c r="BO4">
        <v>121</v>
      </c>
      <c r="BP4">
        <v>121</v>
      </c>
      <c r="BQ4">
        <v>116</v>
      </c>
      <c r="BR4">
        <v>116</v>
      </c>
      <c r="BS4">
        <v>116</v>
      </c>
      <c r="BT4">
        <v>118</v>
      </c>
      <c r="BU4">
        <v>117</v>
      </c>
      <c r="BV4" s="4">
        <f t="shared" si="1"/>
        <v>120.28571428571429</v>
      </c>
      <c r="BW4" s="4">
        <f>_xlfn.STDEV.S(BA4:BU4)</f>
        <v>2.7593995205996755</v>
      </c>
      <c r="BX4" s="4">
        <f t="shared" si="8"/>
        <v>21</v>
      </c>
      <c r="BY4" s="4">
        <f t="shared" si="9"/>
        <v>0.60215034170347004</v>
      </c>
      <c r="BZ4">
        <v>115</v>
      </c>
      <c r="CA4">
        <v>113</v>
      </c>
      <c r="CB4">
        <v>116</v>
      </c>
      <c r="CC4">
        <v>112</v>
      </c>
      <c r="CD4">
        <v>115</v>
      </c>
      <c r="CE4">
        <v>112</v>
      </c>
      <c r="CF4">
        <v>113</v>
      </c>
      <c r="CG4">
        <v>115</v>
      </c>
      <c r="CH4">
        <v>116</v>
      </c>
      <c r="CI4">
        <v>116</v>
      </c>
      <c r="CJ4">
        <v>111</v>
      </c>
      <c r="CK4">
        <v>114</v>
      </c>
      <c r="CL4">
        <v>109</v>
      </c>
      <c r="CM4">
        <v>113</v>
      </c>
      <c r="CN4">
        <v>110</v>
      </c>
      <c r="CO4">
        <v>114</v>
      </c>
      <c r="CP4">
        <v>114</v>
      </c>
      <c r="CQ4">
        <v>114</v>
      </c>
      <c r="CR4">
        <v>127</v>
      </c>
      <c r="CS4">
        <v>128</v>
      </c>
      <c r="CT4">
        <v>123</v>
      </c>
      <c r="CU4">
        <v>123</v>
      </c>
      <c r="CV4">
        <v>121</v>
      </c>
      <c r="CW4" s="4">
        <f t="shared" si="2"/>
        <v>115.82608695652173</v>
      </c>
      <c r="CX4" s="4">
        <f t="shared" si="10"/>
        <v>5.1137263935860409</v>
      </c>
      <c r="CY4" s="4">
        <f t="shared" si="11"/>
        <v>23</v>
      </c>
      <c r="CZ4" s="4">
        <f t="shared" si="12"/>
        <v>1.0662856626067916</v>
      </c>
      <c r="DA4">
        <v>97</v>
      </c>
      <c r="DB4">
        <v>99</v>
      </c>
      <c r="DC4">
        <v>112</v>
      </c>
      <c r="DD4">
        <v>119</v>
      </c>
      <c r="DE4">
        <v>110</v>
      </c>
      <c r="DF4">
        <v>112</v>
      </c>
      <c r="DG4">
        <v>114</v>
      </c>
      <c r="DH4">
        <v>110</v>
      </c>
      <c r="DI4">
        <v>112</v>
      </c>
      <c r="DJ4">
        <v>111</v>
      </c>
      <c r="DK4">
        <v>109</v>
      </c>
      <c r="DL4">
        <v>103</v>
      </c>
      <c r="DM4">
        <v>104</v>
      </c>
      <c r="DN4">
        <v>107</v>
      </c>
      <c r="DO4">
        <v>107</v>
      </c>
      <c r="DP4">
        <v>110</v>
      </c>
      <c r="DQ4">
        <v>107</v>
      </c>
      <c r="DR4">
        <v>109</v>
      </c>
      <c r="DS4">
        <v>116</v>
      </c>
      <c r="DT4">
        <v>125</v>
      </c>
      <c r="DU4">
        <v>115</v>
      </c>
      <c r="DV4">
        <v>115</v>
      </c>
      <c r="DW4" s="4">
        <f t="shared" si="3"/>
        <v>110.13636363636364</v>
      </c>
      <c r="DX4" s="4">
        <f t="shared" si="13"/>
        <v>6.2662775047258936</v>
      </c>
      <c r="DY4" s="4">
        <f t="shared" si="14"/>
        <v>22</v>
      </c>
      <c r="DZ4" s="4">
        <f t="shared" si="15"/>
        <v>1.3359748528906075</v>
      </c>
    </row>
    <row r="5" spans="1:130" x14ac:dyDescent="0.25">
      <c r="A5" s="1" t="s">
        <v>112</v>
      </c>
      <c r="B5">
        <v>149.4</v>
      </c>
      <c r="C5">
        <v>152.4</v>
      </c>
      <c r="D5">
        <v>149.4</v>
      </c>
      <c r="E5">
        <v>153.1</v>
      </c>
      <c r="F5">
        <v>155</v>
      </c>
      <c r="G5">
        <v>153.69999999999999</v>
      </c>
      <c r="H5">
        <v>159.6</v>
      </c>
      <c r="I5">
        <v>157.80000000000001</v>
      </c>
      <c r="J5">
        <v>156.4</v>
      </c>
      <c r="K5">
        <v>149.19999999999999</v>
      </c>
      <c r="L5">
        <v>149.69999999999999</v>
      </c>
      <c r="M5">
        <v>151.4</v>
      </c>
      <c r="N5">
        <v>150.69999999999999</v>
      </c>
      <c r="O5">
        <v>152.30000000000001</v>
      </c>
      <c r="P5">
        <v>149.9</v>
      </c>
      <c r="Q5">
        <v>154.30000000000001</v>
      </c>
      <c r="R5">
        <v>157.69999999999999</v>
      </c>
      <c r="S5">
        <v>157.19999999999999</v>
      </c>
      <c r="T5">
        <v>149</v>
      </c>
      <c r="U5">
        <v>149.1</v>
      </c>
      <c r="V5">
        <v>156.4</v>
      </c>
      <c r="W5">
        <v>144.19999999999999</v>
      </c>
      <c r="X5">
        <v>149</v>
      </c>
      <c r="Y5">
        <v>160.1</v>
      </c>
      <c r="Z5" s="4">
        <f>AVERAGE(B5:Y5)</f>
        <v>152.79166666666666</v>
      </c>
      <c r="AA5" s="4">
        <f>_xlfn.STDEV.S(B5:Y5)</f>
        <v>4.0605114977288777</v>
      </c>
      <c r="AB5" s="4">
        <f>COUNT(B5:Y5)</f>
        <v>24</v>
      </c>
      <c r="AC5" s="4">
        <f t="shared" si="4"/>
        <v>0.82884843867833724</v>
      </c>
      <c r="AD5">
        <v>146.9</v>
      </c>
      <c r="AE5">
        <v>152.1</v>
      </c>
      <c r="AF5">
        <v>145.1</v>
      </c>
      <c r="AG5">
        <v>148.30000000000001</v>
      </c>
      <c r="AH5">
        <v>147.1</v>
      </c>
      <c r="AI5">
        <v>147.1</v>
      </c>
      <c r="AJ5">
        <v>153.19999999999999</v>
      </c>
      <c r="AK5">
        <v>155.6</v>
      </c>
      <c r="AL5">
        <v>155.1</v>
      </c>
      <c r="AM5">
        <v>148.9</v>
      </c>
      <c r="AN5">
        <v>151.6</v>
      </c>
      <c r="AO5">
        <v>150.19999999999999</v>
      </c>
      <c r="AP5">
        <v>148.19999999999999</v>
      </c>
      <c r="AQ5">
        <v>151.19999999999999</v>
      </c>
      <c r="AR5">
        <v>147.69999999999999</v>
      </c>
      <c r="AS5">
        <v>152.30000000000001</v>
      </c>
      <c r="AT5">
        <v>150.5</v>
      </c>
      <c r="AU5">
        <v>151.5</v>
      </c>
      <c r="AV5">
        <v>152.80000000000001</v>
      </c>
      <c r="AW5" s="4">
        <f t="shared" si="0"/>
        <v>150.2842105263158</v>
      </c>
      <c r="AX5" s="4">
        <f t="shared" si="5"/>
        <v>2.9176213976256484</v>
      </c>
      <c r="AY5" s="4">
        <f t="shared" si="6"/>
        <v>19</v>
      </c>
      <c r="AZ5" s="4">
        <f t="shared" si="7"/>
        <v>0.66934825409274212</v>
      </c>
      <c r="BA5">
        <v>155.4</v>
      </c>
      <c r="BB5">
        <v>153</v>
      </c>
      <c r="BC5">
        <v>159.5</v>
      </c>
      <c r="BD5">
        <v>148.80000000000001</v>
      </c>
      <c r="BE5">
        <v>148.69999999999999</v>
      </c>
      <c r="BF5">
        <v>147.9</v>
      </c>
      <c r="BG5">
        <v>147.6</v>
      </c>
      <c r="BH5">
        <v>149.80000000000001</v>
      </c>
      <c r="BI5">
        <v>154.19999999999999</v>
      </c>
      <c r="BJ5">
        <v>152.69999999999999</v>
      </c>
      <c r="BK5">
        <v>148.4</v>
      </c>
      <c r="BL5">
        <v>151.69999999999999</v>
      </c>
      <c r="BM5">
        <v>151.1</v>
      </c>
      <c r="BN5">
        <v>149</v>
      </c>
      <c r="BO5">
        <v>144.19999999999999</v>
      </c>
      <c r="BP5">
        <v>147.80000000000001</v>
      </c>
      <c r="BQ5">
        <v>148.19999999999999</v>
      </c>
      <c r="BR5">
        <v>149.30000000000001</v>
      </c>
      <c r="BS5">
        <v>148.9</v>
      </c>
      <c r="BT5">
        <v>147.80000000000001</v>
      </c>
      <c r="BU5">
        <v>150.4</v>
      </c>
      <c r="BV5" s="4">
        <f t="shared" si="1"/>
        <v>150.20952380952383</v>
      </c>
      <c r="BW5" s="4">
        <f t="shared" ref="BW5:BW36" si="16">_xlfn.STDEV.S(BA5:BU5)</f>
        <v>3.3304511348922023</v>
      </c>
      <c r="BX5" s="4">
        <f t="shared" si="8"/>
        <v>21</v>
      </c>
      <c r="BY5" s="4">
        <f t="shared" si="9"/>
        <v>0.72676402019024289</v>
      </c>
      <c r="BZ5">
        <v>145.69999999999999</v>
      </c>
      <c r="CA5">
        <v>143.9</v>
      </c>
      <c r="CB5">
        <v>145.1</v>
      </c>
      <c r="CC5">
        <v>152.6</v>
      </c>
      <c r="CD5">
        <v>149.30000000000001</v>
      </c>
      <c r="CE5">
        <v>155.19999999999999</v>
      </c>
      <c r="CF5">
        <v>151.6</v>
      </c>
      <c r="CG5">
        <v>151.6</v>
      </c>
      <c r="CH5">
        <v>152.9</v>
      </c>
      <c r="CI5">
        <v>145.80000000000001</v>
      </c>
      <c r="CJ5">
        <v>149.80000000000001</v>
      </c>
      <c r="CK5">
        <v>144.80000000000001</v>
      </c>
      <c r="CL5">
        <v>152.19999999999999</v>
      </c>
      <c r="CM5">
        <v>153.1</v>
      </c>
      <c r="CN5">
        <v>152.1</v>
      </c>
      <c r="CO5">
        <v>149.6</v>
      </c>
      <c r="CP5">
        <v>151.1</v>
      </c>
      <c r="CQ5">
        <v>149.1</v>
      </c>
      <c r="CR5">
        <v>157.4</v>
      </c>
      <c r="CS5">
        <v>153.30000000000001</v>
      </c>
      <c r="CT5">
        <v>152.19999999999999</v>
      </c>
      <c r="CU5">
        <v>153.19999999999999</v>
      </c>
      <c r="CV5">
        <v>149.69999999999999</v>
      </c>
      <c r="CW5" s="4">
        <f t="shared" si="2"/>
        <v>150.49130434782606</v>
      </c>
      <c r="CX5" s="4">
        <f t="shared" si="10"/>
        <v>3.4938794592672071</v>
      </c>
      <c r="CY5" s="4">
        <f t="shared" si="11"/>
        <v>23</v>
      </c>
      <c r="CZ5" s="4">
        <f t="shared" si="12"/>
        <v>0.72852422823515095</v>
      </c>
      <c r="DA5">
        <v>149.88</v>
      </c>
      <c r="DB5">
        <v>153</v>
      </c>
      <c r="DC5">
        <v>147.4</v>
      </c>
      <c r="DD5">
        <v>154.9</v>
      </c>
      <c r="DE5">
        <v>146.69999999999999</v>
      </c>
      <c r="DF5">
        <v>148.80000000000001</v>
      </c>
      <c r="DG5">
        <v>144.5</v>
      </c>
      <c r="DH5">
        <v>149.80000000000001</v>
      </c>
      <c r="DI5">
        <v>150.80000000000001</v>
      </c>
      <c r="DJ5">
        <v>148.80000000000001</v>
      </c>
      <c r="DK5">
        <v>152.1</v>
      </c>
      <c r="DL5">
        <v>150.4</v>
      </c>
      <c r="DM5">
        <v>149.6</v>
      </c>
      <c r="DN5">
        <v>147</v>
      </c>
      <c r="DO5">
        <v>143.5</v>
      </c>
      <c r="DP5">
        <v>152.5</v>
      </c>
      <c r="DQ5">
        <v>152.69999999999999</v>
      </c>
      <c r="DR5">
        <v>151.5</v>
      </c>
      <c r="DS5">
        <v>155.5</v>
      </c>
      <c r="DT5">
        <v>153.5</v>
      </c>
      <c r="DU5">
        <v>151.30000000000001</v>
      </c>
      <c r="DV5">
        <v>157.6</v>
      </c>
      <c r="DW5" s="4">
        <f t="shared" si="3"/>
        <v>150.53545454545451</v>
      </c>
      <c r="DX5" s="4">
        <f t="shared" si="13"/>
        <v>3.4633918514778417</v>
      </c>
      <c r="DY5" s="4">
        <f t="shared" si="14"/>
        <v>22</v>
      </c>
      <c r="DZ5" s="4">
        <f t="shared" si="15"/>
        <v>0.73839762375525975</v>
      </c>
    </row>
    <row r="6" spans="1:130" x14ac:dyDescent="0.25">
      <c r="A6" s="1" t="s">
        <v>113</v>
      </c>
      <c r="B6">
        <v>152.4</v>
      </c>
      <c r="C6">
        <v>152.4</v>
      </c>
      <c r="D6">
        <v>151.4</v>
      </c>
      <c r="E6">
        <v>153.1</v>
      </c>
      <c r="F6">
        <v>157</v>
      </c>
      <c r="G6">
        <v>155.69999999999999</v>
      </c>
      <c r="H6">
        <v>161.6</v>
      </c>
      <c r="I6">
        <v>159.4</v>
      </c>
      <c r="J6">
        <v>158.4</v>
      </c>
      <c r="K6">
        <v>149.69999999999999</v>
      </c>
      <c r="L6">
        <v>149.69999999999999</v>
      </c>
      <c r="M6">
        <v>153.4</v>
      </c>
      <c r="N6">
        <v>153.19999999999999</v>
      </c>
      <c r="O6">
        <v>154.19999999999999</v>
      </c>
      <c r="P6">
        <v>152.9</v>
      </c>
      <c r="Q6">
        <v>158.30000000000001</v>
      </c>
      <c r="R6">
        <v>161.69999999999999</v>
      </c>
      <c r="S6">
        <v>159.19999999999999</v>
      </c>
      <c r="T6">
        <v>152</v>
      </c>
      <c r="U6">
        <v>149</v>
      </c>
      <c r="V6">
        <v>158.4</v>
      </c>
      <c r="W6">
        <v>148.19999999999999</v>
      </c>
      <c r="X6">
        <v>152.80000000000001</v>
      </c>
      <c r="Y6">
        <v>162.1</v>
      </c>
      <c r="Z6" s="4">
        <f>AVERAGE(B6:Y6)</f>
        <v>154.84166666666667</v>
      </c>
      <c r="AA6" s="4">
        <f>_xlfn.STDEV.S(B6:Y6)</f>
        <v>4.2064047094532109</v>
      </c>
      <c r="AB6" s="4">
        <f t="shared" ref="AB6:AB36" si="17">COUNT(B6:Y6)</f>
        <v>24</v>
      </c>
      <c r="AC6" s="4">
        <f t="shared" si="4"/>
        <v>0.858628765816708</v>
      </c>
      <c r="AD6">
        <v>147.80000000000001</v>
      </c>
      <c r="AE6">
        <v>152.30000000000001</v>
      </c>
      <c r="AF6">
        <v>147.80000000000001</v>
      </c>
      <c r="AG6">
        <v>145.30000000000001</v>
      </c>
      <c r="AH6">
        <v>150.1</v>
      </c>
      <c r="AI6">
        <v>144.1</v>
      </c>
      <c r="AJ6">
        <v>156.19999999999999</v>
      </c>
      <c r="AK6">
        <v>155.4</v>
      </c>
      <c r="AL6">
        <v>154.30000000000001</v>
      </c>
      <c r="AM6">
        <v>153.9</v>
      </c>
      <c r="AN6">
        <v>151.6</v>
      </c>
      <c r="AO6">
        <v>153.19999999999999</v>
      </c>
      <c r="AP6">
        <v>148.6</v>
      </c>
      <c r="AQ6">
        <v>151.19999999999999</v>
      </c>
      <c r="AR6">
        <v>148.19999999999999</v>
      </c>
      <c r="AS6">
        <v>152.30000000000001</v>
      </c>
      <c r="AT6">
        <v>153.5</v>
      </c>
      <c r="AU6">
        <v>152.4</v>
      </c>
      <c r="AV6">
        <v>156</v>
      </c>
      <c r="AW6" s="4">
        <f t="shared" si="0"/>
        <v>151.27368421052634</v>
      </c>
      <c r="AX6" s="4">
        <f t="shared" si="5"/>
        <v>3.5047336410541736</v>
      </c>
      <c r="AY6" s="4">
        <f t="shared" si="6"/>
        <v>19</v>
      </c>
      <c r="AZ6" s="4">
        <f t="shared" si="7"/>
        <v>0.80404104028328915</v>
      </c>
      <c r="BA6">
        <v>155.6</v>
      </c>
      <c r="BB6">
        <v>155.69999999999999</v>
      </c>
      <c r="BC6">
        <v>154.6</v>
      </c>
      <c r="BD6">
        <v>149</v>
      </c>
      <c r="BE6">
        <v>150.9</v>
      </c>
      <c r="BF6">
        <v>147.9</v>
      </c>
      <c r="BG6">
        <v>144.6</v>
      </c>
      <c r="BH6">
        <v>146.80000000000001</v>
      </c>
      <c r="BI6">
        <v>151.4</v>
      </c>
      <c r="BJ6">
        <v>150.69999999999999</v>
      </c>
      <c r="BK6">
        <v>149.1</v>
      </c>
      <c r="BL6">
        <v>153.9</v>
      </c>
      <c r="BM6">
        <v>148.1</v>
      </c>
      <c r="BN6">
        <v>146</v>
      </c>
      <c r="BO6">
        <v>148.19999999999999</v>
      </c>
      <c r="BP6">
        <v>144.80000000000001</v>
      </c>
      <c r="BQ6">
        <v>147.4</v>
      </c>
      <c r="BR6">
        <v>146.30000000000001</v>
      </c>
      <c r="BS6">
        <v>152</v>
      </c>
      <c r="BT6">
        <v>145.4</v>
      </c>
      <c r="BU6">
        <v>147.9</v>
      </c>
      <c r="BV6" s="4">
        <f t="shared" si="1"/>
        <v>149.34761904761908</v>
      </c>
      <c r="BW6" s="4">
        <f t="shared" si="16"/>
        <v>3.4646239402883285</v>
      </c>
      <c r="BX6" s="4">
        <f t="shared" si="8"/>
        <v>21</v>
      </c>
      <c r="BY6" s="4">
        <f t="shared" si="9"/>
        <v>0.75604292671082995</v>
      </c>
      <c r="BZ6">
        <v>142.69999999999999</v>
      </c>
      <c r="CA6">
        <v>143.9</v>
      </c>
      <c r="CB6">
        <v>147.69999999999999</v>
      </c>
      <c r="CC6">
        <v>154.30000000000001</v>
      </c>
      <c r="CD6">
        <v>152.30000000000001</v>
      </c>
      <c r="CE6">
        <v>150.6</v>
      </c>
      <c r="CF6">
        <v>149.6</v>
      </c>
      <c r="CG6">
        <v>149.6</v>
      </c>
      <c r="CH6">
        <v>147.9</v>
      </c>
      <c r="CI6">
        <v>143.80000000000001</v>
      </c>
      <c r="CJ6">
        <v>146.9</v>
      </c>
      <c r="CK6">
        <v>144.80000000000001</v>
      </c>
      <c r="CL6">
        <v>149.19999999999999</v>
      </c>
      <c r="CM6">
        <v>150.30000000000001</v>
      </c>
      <c r="CN6">
        <v>150.80000000000001</v>
      </c>
      <c r="CO6">
        <v>147.6</v>
      </c>
      <c r="CP6">
        <v>146.6</v>
      </c>
      <c r="CQ6">
        <v>146.9</v>
      </c>
      <c r="CR6">
        <v>154.4</v>
      </c>
      <c r="CS6">
        <v>150.30000000000001</v>
      </c>
      <c r="CT6">
        <v>154</v>
      </c>
      <c r="CU6">
        <v>156.19999999999999</v>
      </c>
      <c r="CV6">
        <v>152.69999999999999</v>
      </c>
      <c r="CW6" s="4">
        <f t="shared" si="2"/>
        <v>149.26521739130436</v>
      </c>
      <c r="CX6" s="4">
        <f t="shared" si="10"/>
        <v>3.6730726171140264</v>
      </c>
      <c r="CY6" s="4">
        <f t="shared" si="11"/>
        <v>23</v>
      </c>
      <c r="CZ6" s="4">
        <f t="shared" si="12"/>
        <v>0.76588858454661746</v>
      </c>
      <c r="DA6">
        <v>141.87</v>
      </c>
      <c r="DB6">
        <v>145.6</v>
      </c>
      <c r="DC6">
        <v>144.4</v>
      </c>
      <c r="DD6">
        <v>151.9</v>
      </c>
      <c r="DE6">
        <v>143.80000000000001</v>
      </c>
      <c r="DF6">
        <v>143.69999999999999</v>
      </c>
      <c r="DG6">
        <v>143.5</v>
      </c>
      <c r="DH6">
        <v>144.80000000000001</v>
      </c>
      <c r="DI6">
        <v>147.80000000000001</v>
      </c>
      <c r="DJ6">
        <v>148.4</v>
      </c>
      <c r="DK6">
        <v>146.4</v>
      </c>
      <c r="DL6">
        <v>147.6</v>
      </c>
      <c r="DM6">
        <v>145.5</v>
      </c>
      <c r="DN6">
        <v>142</v>
      </c>
      <c r="DO6">
        <v>141.5</v>
      </c>
      <c r="DP6">
        <v>150.5</v>
      </c>
      <c r="DQ6">
        <v>149.4</v>
      </c>
      <c r="DR6">
        <v>147</v>
      </c>
      <c r="DS6">
        <v>152.30000000000001</v>
      </c>
      <c r="DT6">
        <v>150.5</v>
      </c>
      <c r="DU6">
        <v>147.1</v>
      </c>
      <c r="DV6">
        <v>152.4</v>
      </c>
      <c r="DW6" s="4">
        <f t="shared" si="3"/>
        <v>146.72590909090911</v>
      </c>
      <c r="DX6" s="4">
        <f t="shared" si="13"/>
        <v>3.4083520093900854</v>
      </c>
      <c r="DY6" s="4">
        <f t="shared" si="14"/>
        <v>22</v>
      </c>
      <c r="DZ6" s="4">
        <f t="shared" si="15"/>
        <v>0.72666308999405049</v>
      </c>
    </row>
    <row r="7" spans="1:130" x14ac:dyDescent="0.25">
      <c r="A7" s="1" t="s">
        <v>114</v>
      </c>
      <c r="B7">
        <v>127.9</v>
      </c>
      <c r="C7">
        <v>128.30000000000001</v>
      </c>
      <c r="D7">
        <v>127.4</v>
      </c>
      <c r="E7">
        <v>127</v>
      </c>
      <c r="F7">
        <v>133</v>
      </c>
      <c r="G7">
        <v>131.69999999999999</v>
      </c>
      <c r="H7">
        <v>139.6</v>
      </c>
      <c r="I7">
        <v>135.4</v>
      </c>
      <c r="J7">
        <v>136.4</v>
      </c>
      <c r="K7">
        <v>128.19999999999999</v>
      </c>
      <c r="L7">
        <v>125.7</v>
      </c>
      <c r="M7">
        <v>129.4</v>
      </c>
      <c r="N7">
        <v>126.4</v>
      </c>
      <c r="O7">
        <v>130.19999999999999</v>
      </c>
      <c r="P7">
        <v>128.9</v>
      </c>
      <c r="Q7">
        <v>133.30000000000001</v>
      </c>
      <c r="R7">
        <v>138.69999999999999</v>
      </c>
      <c r="S7">
        <v>135.19999999999999</v>
      </c>
      <c r="T7">
        <v>127.5</v>
      </c>
      <c r="U7">
        <v>120.8</v>
      </c>
      <c r="V7">
        <v>136.4</v>
      </c>
      <c r="W7">
        <v>123.2</v>
      </c>
      <c r="X7">
        <v>127.9</v>
      </c>
      <c r="Y7">
        <v>140.1</v>
      </c>
      <c r="Z7" s="4">
        <f>AVERAGE(B7:Y7)</f>
        <v>130.77500000000001</v>
      </c>
      <c r="AA7" s="4">
        <f>_xlfn.STDEV.S(B7:Y7)</f>
        <v>5.180418818052722</v>
      </c>
      <c r="AB7" s="4">
        <f t="shared" si="17"/>
        <v>24</v>
      </c>
      <c r="AC7" s="4">
        <f t="shared" si="4"/>
        <v>1.0574485631784249</v>
      </c>
      <c r="AD7">
        <v>116.9</v>
      </c>
      <c r="AE7">
        <v>124.4</v>
      </c>
      <c r="AF7">
        <v>118.9</v>
      </c>
      <c r="AG7">
        <v>112.3</v>
      </c>
      <c r="AH7">
        <v>119.1</v>
      </c>
      <c r="AI7">
        <v>111.1</v>
      </c>
      <c r="AJ7">
        <v>125.8</v>
      </c>
      <c r="AK7">
        <v>129.1</v>
      </c>
      <c r="AL7">
        <v>124.2</v>
      </c>
      <c r="AM7">
        <v>123.9</v>
      </c>
      <c r="AN7">
        <v>123.6</v>
      </c>
      <c r="AO7">
        <v>124.2</v>
      </c>
      <c r="AP7">
        <v>115.1</v>
      </c>
      <c r="AQ7">
        <v>123.2</v>
      </c>
      <c r="AR7">
        <v>114.2</v>
      </c>
      <c r="AS7">
        <v>126.3</v>
      </c>
      <c r="AT7">
        <v>128.9</v>
      </c>
      <c r="AU7">
        <v>126.9</v>
      </c>
      <c r="AV7">
        <v>129.30000000000001</v>
      </c>
      <c r="AW7" s="4">
        <f t="shared" si="0"/>
        <v>121.96842105263158</v>
      </c>
      <c r="AX7" s="4">
        <f t="shared" si="5"/>
        <v>5.7574157620680797</v>
      </c>
      <c r="AY7" s="4">
        <f t="shared" si="6"/>
        <v>19</v>
      </c>
      <c r="AZ7" s="4">
        <f t="shared" si="7"/>
        <v>1.3208417622527879</v>
      </c>
      <c r="BA7">
        <v>122.2</v>
      </c>
      <c r="BB7">
        <v>122.1</v>
      </c>
      <c r="BC7">
        <v>122.5</v>
      </c>
      <c r="BD7">
        <v>120.4</v>
      </c>
      <c r="BE7">
        <v>126.2</v>
      </c>
      <c r="BF7">
        <v>121.6</v>
      </c>
      <c r="BG7">
        <v>109.6</v>
      </c>
      <c r="BH7">
        <v>115.7</v>
      </c>
      <c r="BI7">
        <v>115.7</v>
      </c>
      <c r="BJ7">
        <v>111.7</v>
      </c>
      <c r="BK7">
        <v>120.8</v>
      </c>
      <c r="BL7">
        <v>122.4</v>
      </c>
      <c r="BM7">
        <v>115.1</v>
      </c>
      <c r="BN7">
        <v>113</v>
      </c>
      <c r="BO7">
        <v>121.2</v>
      </c>
      <c r="BP7">
        <v>111.8</v>
      </c>
      <c r="BQ7">
        <v>111.7</v>
      </c>
      <c r="BR7">
        <v>113.3</v>
      </c>
      <c r="BS7">
        <v>124.1</v>
      </c>
      <c r="BT7">
        <v>113.2</v>
      </c>
      <c r="BU7">
        <v>114.4</v>
      </c>
      <c r="BV7" s="4">
        <f t="shared" si="1"/>
        <v>117.55714285714286</v>
      </c>
      <c r="BW7" s="4">
        <f t="shared" si="16"/>
        <v>5.0082503360526456</v>
      </c>
      <c r="BX7" s="4">
        <f t="shared" si="8"/>
        <v>21</v>
      </c>
      <c r="BY7" s="4">
        <f t="shared" si="9"/>
        <v>1.0928898221071082</v>
      </c>
      <c r="BZ7">
        <v>107.7</v>
      </c>
      <c r="CA7">
        <v>115.9</v>
      </c>
      <c r="CB7">
        <v>116.4</v>
      </c>
      <c r="CC7">
        <v>120.3</v>
      </c>
      <c r="CD7">
        <v>117.4</v>
      </c>
      <c r="CE7">
        <v>112.6</v>
      </c>
      <c r="CF7">
        <v>110.6</v>
      </c>
      <c r="CG7">
        <v>110.6</v>
      </c>
      <c r="CH7">
        <v>109.9</v>
      </c>
      <c r="CI7">
        <v>104.8</v>
      </c>
      <c r="CJ7">
        <v>115</v>
      </c>
      <c r="CK7">
        <v>110.8</v>
      </c>
      <c r="CL7">
        <v>110.7</v>
      </c>
      <c r="CM7">
        <v>114.5</v>
      </c>
      <c r="CN7">
        <v>117</v>
      </c>
      <c r="CO7">
        <v>108.6</v>
      </c>
      <c r="CP7">
        <v>108.6</v>
      </c>
      <c r="CQ7">
        <v>108</v>
      </c>
      <c r="CR7">
        <v>121.4</v>
      </c>
      <c r="CS7">
        <v>116.9</v>
      </c>
      <c r="CT7">
        <v>125</v>
      </c>
      <c r="CU7">
        <v>125.2</v>
      </c>
      <c r="CV7">
        <v>120.9</v>
      </c>
      <c r="CW7" s="4">
        <f t="shared" si="2"/>
        <v>114.29565217391303</v>
      </c>
      <c r="CX7" s="4">
        <f t="shared" si="10"/>
        <v>5.6718986929077566</v>
      </c>
      <c r="CY7" s="4">
        <f t="shared" si="11"/>
        <v>23</v>
      </c>
      <c r="CZ7" s="4">
        <f t="shared" si="12"/>
        <v>1.1826726325427492</v>
      </c>
      <c r="DA7">
        <v>105.88</v>
      </c>
      <c r="DB7">
        <v>109.6</v>
      </c>
      <c r="DC7">
        <v>113.4</v>
      </c>
      <c r="DD7">
        <v>120.6</v>
      </c>
      <c r="DE7">
        <v>108.3</v>
      </c>
      <c r="DF7">
        <v>105.8</v>
      </c>
      <c r="DG7">
        <v>105.9</v>
      </c>
      <c r="DH7">
        <v>106.8</v>
      </c>
      <c r="DI7">
        <v>114.7</v>
      </c>
      <c r="DJ7">
        <v>109</v>
      </c>
      <c r="DK7">
        <v>114.4</v>
      </c>
      <c r="DL7">
        <v>111.4</v>
      </c>
      <c r="DM7">
        <v>109</v>
      </c>
      <c r="DN7">
        <v>104</v>
      </c>
      <c r="DO7">
        <v>102.5</v>
      </c>
      <c r="DP7">
        <v>117.5</v>
      </c>
      <c r="DQ7">
        <v>114.2</v>
      </c>
      <c r="DR7">
        <v>109</v>
      </c>
      <c r="DS7">
        <v>121.2</v>
      </c>
      <c r="DT7">
        <v>118.4</v>
      </c>
      <c r="DU7">
        <v>110.4</v>
      </c>
      <c r="DV7">
        <v>114.5</v>
      </c>
      <c r="DW7" s="4">
        <f t="shared" si="3"/>
        <v>111.20363636363639</v>
      </c>
      <c r="DX7" s="4">
        <f t="shared" si="13"/>
        <v>5.2812431305828946</v>
      </c>
      <c r="DY7" s="4">
        <f t="shared" si="14"/>
        <v>22</v>
      </c>
      <c r="DZ7" s="4">
        <f t="shared" si="15"/>
        <v>1.1259648186884197</v>
      </c>
    </row>
    <row r="8" spans="1:130" x14ac:dyDescent="0.25">
      <c r="A8" s="1" t="s">
        <v>115</v>
      </c>
      <c r="B8">
        <v>144</v>
      </c>
      <c r="C8">
        <v>145</v>
      </c>
      <c r="D8">
        <v>144</v>
      </c>
      <c r="E8">
        <v>147</v>
      </c>
      <c r="F8">
        <v>152</v>
      </c>
      <c r="G8">
        <v>151</v>
      </c>
      <c r="H8">
        <v>147</v>
      </c>
      <c r="I8">
        <v>148</v>
      </c>
      <c r="J8">
        <v>146</v>
      </c>
      <c r="K8">
        <v>144</v>
      </c>
      <c r="L8">
        <v>144</v>
      </c>
      <c r="M8">
        <v>145</v>
      </c>
      <c r="N8">
        <v>146</v>
      </c>
      <c r="O8">
        <v>145</v>
      </c>
      <c r="P8">
        <v>144</v>
      </c>
      <c r="Q8">
        <v>147</v>
      </c>
      <c r="R8">
        <v>147</v>
      </c>
      <c r="S8">
        <v>148</v>
      </c>
      <c r="T8">
        <v>143</v>
      </c>
      <c r="U8">
        <v>145</v>
      </c>
      <c r="V8">
        <v>146</v>
      </c>
      <c r="W8">
        <v>138</v>
      </c>
      <c r="X8">
        <v>145</v>
      </c>
      <c r="Y8">
        <v>147</v>
      </c>
      <c r="Z8" s="4">
        <f>AVERAGE(B8:Y8)</f>
        <v>145.75</v>
      </c>
      <c r="AA8" s="4">
        <f>_xlfn.STDEV.S(B8:Y8)</f>
        <v>2.7226904852114333</v>
      </c>
      <c r="AB8" s="4">
        <f t="shared" si="17"/>
        <v>24</v>
      </c>
      <c r="AC8" s="4">
        <f t="shared" si="4"/>
        <v>0.55576686802489672</v>
      </c>
      <c r="AD8">
        <v>132</v>
      </c>
      <c r="AE8">
        <v>120</v>
      </c>
      <c r="AF8">
        <v>140</v>
      </c>
      <c r="AG8">
        <v>141</v>
      </c>
      <c r="AH8">
        <v>140</v>
      </c>
      <c r="AI8">
        <v>142</v>
      </c>
      <c r="AJ8">
        <v>147</v>
      </c>
      <c r="AK8">
        <v>146</v>
      </c>
      <c r="AL8">
        <v>147</v>
      </c>
      <c r="AM8">
        <v>144</v>
      </c>
      <c r="AN8">
        <v>145</v>
      </c>
      <c r="AO8">
        <v>145</v>
      </c>
      <c r="AP8">
        <v>142</v>
      </c>
      <c r="AQ8">
        <v>143</v>
      </c>
      <c r="AR8">
        <v>145</v>
      </c>
      <c r="AS8">
        <v>147</v>
      </c>
      <c r="AT8">
        <v>146</v>
      </c>
      <c r="AU8">
        <v>149</v>
      </c>
      <c r="AV8">
        <v>147</v>
      </c>
      <c r="AW8" s="4">
        <f t="shared" si="0"/>
        <v>142.52631578947367</v>
      </c>
      <c r="AX8" s="4">
        <f t="shared" si="5"/>
        <v>6.669736135482351</v>
      </c>
      <c r="AY8" s="4">
        <f t="shared" si="6"/>
        <v>19</v>
      </c>
      <c r="AZ8" s="4">
        <f t="shared" si="7"/>
        <v>1.5301424102446879</v>
      </c>
      <c r="BA8">
        <v>151</v>
      </c>
      <c r="BB8">
        <v>149</v>
      </c>
      <c r="BC8">
        <v>152</v>
      </c>
      <c r="BD8">
        <v>142</v>
      </c>
      <c r="BE8">
        <v>143</v>
      </c>
      <c r="BF8">
        <v>143</v>
      </c>
      <c r="BG8">
        <v>144</v>
      </c>
      <c r="BH8">
        <v>144</v>
      </c>
      <c r="BI8">
        <v>149</v>
      </c>
      <c r="BJ8">
        <v>150</v>
      </c>
      <c r="BK8">
        <v>143</v>
      </c>
      <c r="BL8">
        <v>141</v>
      </c>
      <c r="BM8">
        <v>142</v>
      </c>
      <c r="BN8">
        <v>141</v>
      </c>
      <c r="BO8">
        <v>138</v>
      </c>
      <c r="BP8">
        <v>142</v>
      </c>
      <c r="BQ8">
        <v>145</v>
      </c>
      <c r="BR8">
        <v>145</v>
      </c>
      <c r="BS8">
        <v>142</v>
      </c>
      <c r="BT8">
        <v>146</v>
      </c>
      <c r="BU8">
        <v>145</v>
      </c>
      <c r="BV8" s="4">
        <f t="shared" si="1"/>
        <v>144.61904761904762</v>
      </c>
      <c r="BW8" s="4">
        <f t="shared" si="16"/>
        <v>3.6807090414238193</v>
      </c>
      <c r="BX8" s="4">
        <f t="shared" si="8"/>
        <v>21</v>
      </c>
      <c r="BY8" s="4">
        <f t="shared" si="9"/>
        <v>0.80319656159204778</v>
      </c>
      <c r="BZ8">
        <v>140</v>
      </c>
      <c r="CA8">
        <v>139</v>
      </c>
      <c r="CB8">
        <v>140</v>
      </c>
      <c r="CC8">
        <v>144</v>
      </c>
      <c r="CD8">
        <v>142</v>
      </c>
      <c r="CE8">
        <v>144</v>
      </c>
      <c r="CF8">
        <v>147</v>
      </c>
      <c r="CG8">
        <v>146</v>
      </c>
      <c r="CH8">
        <v>147</v>
      </c>
      <c r="CI8">
        <v>140</v>
      </c>
      <c r="CJ8">
        <v>140</v>
      </c>
      <c r="CK8">
        <v>139</v>
      </c>
      <c r="CL8">
        <v>142</v>
      </c>
      <c r="CM8">
        <v>139</v>
      </c>
      <c r="CN8">
        <v>142</v>
      </c>
      <c r="CO8">
        <v>146</v>
      </c>
      <c r="CP8">
        <v>146</v>
      </c>
      <c r="CQ8">
        <v>145</v>
      </c>
      <c r="CR8">
        <v>153</v>
      </c>
      <c r="CS8">
        <v>149</v>
      </c>
      <c r="CT8">
        <v>149</v>
      </c>
      <c r="CU8">
        <v>149</v>
      </c>
      <c r="CV8">
        <v>146</v>
      </c>
      <c r="CW8" s="4">
        <f t="shared" si="2"/>
        <v>144.08695652173913</v>
      </c>
      <c r="CX8" s="4">
        <f t="shared" si="10"/>
        <v>3.9417698318286707</v>
      </c>
      <c r="CY8" s="4">
        <f t="shared" si="11"/>
        <v>23</v>
      </c>
      <c r="CZ8" s="4">
        <f t="shared" si="12"/>
        <v>0.82191582683160946</v>
      </c>
      <c r="DA8">
        <v>127</v>
      </c>
      <c r="DB8">
        <v>130</v>
      </c>
      <c r="DC8">
        <v>142</v>
      </c>
      <c r="DD8">
        <v>147</v>
      </c>
      <c r="DE8">
        <v>142</v>
      </c>
      <c r="DF8">
        <v>143</v>
      </c>
      <c r="DG8">
        <v>142</v>
      </c>
      <c r="DH8">
        <v>144</v>
      </c>
      <c r="DI8">
        <v>145</v>
      </c>
      <c r="DJ8">
        <v>145</v>
      </c>
      <c r="DK8">
        <v>132</v>
      </c>
      <c r="DL8">
        <v>138</v>
      </c>
      <c r="DM8">
        <v>135</v>
      </c>
      <c r="DN8">
        <v>142</v>
      </c>
      <c r="DO8">
        <v>141</v>
      </c>
      <c r="DP8">
        <v>139</v>
      </c>
      <c r="DQ8">
        <v>143</v>
      </c>
      <c r="DR8">
        <v>138</v>
      </c>
      <c r="DS8">
        <v>149</v>
      </c>
      <c r="DT8">
        <v>146</v>
      </c>
      <c r="DU8">
        <v>146</v>
      </c>
      <c r="DV8">
        <v>153</v>
      </c>
      <c r="DW8" s="4">
        <f t="shared" si="3"/>
        <v>141.31818181818181</v>
      </c>
      <c r="DX8" s="4">
        <f t="shared" si="13"/>
        <v>6.1751141391908408</v>
      </c>
      <c r="DY8" s="4">
        <f t="shared" si="14"/>
        <v>22</v>
      </c>
      <c r="DZ8" s="4">
        <f t="shared" si="15"/>
        <v>1.3165387580531458</v>
      </c>
    </row>
    <row r="9" spans="1:130" x14ac:dyDescent="0.25">
      <c r="A9" s="1" t="s">
        <v>116</v>
      </c>
      <c r="B9">
        <v>145</v>
      </c>
      <c r="C9">
        <v>147</v>
      </c>
      <c r="D9">
        <v>146</v>
      </c>
      <c r="E9">
        <v>148</v>
      </c>
      <c r="F9">
        <v>154</v>
      </c>
      <c r="G9">
        <v>153</v>
      </c>
      <c r="H9">
        <v>148</v>
      </c>
      <c r="I9">
        <v>148</v>
      </c>
      <c r="J9">
        <v>148</v>
      </c>
      <c r="K9">
        <v>146</v>
      </c>
      <c r="L9">
        <v>146</v>
      </c>
      <c r="M9">
        <v>147</v>
      </c>
      <c r="N9">
        <v>147</v>
      </c>
      <c r="O9">
        <v>147</v>
      </c>
      <c r="P9">
        <v>148</v>
      </c>
      <c r="Q9">
        <v>150</v>
      </c>
      <c r="R9">
        <v>149</v>
      </c>
      <c r="S9">
        <v>151</v>
      </c>
      <c r="T9">
        <v>144</v>
      </c>
      <c r="U9">
        <v>144</v>
      </c>
      <c r="V9">
        <v>147</v>
      </c>
      <c r="W9">
        <v>141</v>
      </c>
      <c r="X9">
        <v>148</v>
      </c>
      <c r="Y9">
        <v>149</v>
      </c>
      <c r="Z9" s="4">
        <f>AVERAGE(B9:Y9)</f>
        <v>147.54166666666666</v>
      </c>
      <c r="AA9" s="4">
        <f>_xlfn.STDEV.S(B9:Y9)</f>
        <v>2.7816036454857676</v>
      </c>
      <c r="AB9" s="4">
        <f t="shared" si="17"/>
        <v>24</v>
      </c>
      <c r="AC9" s="4">
        <f t="shared" si="4"/>
        <v>0.56779246650880699</v>
      </c>
      <c r="AD9">
        <v>129</v>
      </c>
      <c r="AE9">
        <v>123</v>
      </c>
      <c r="AF9">
        <v>141</v>
      </c>
      <c r="AG9">
        <v>141</v>
      </c>
      <c r="AH9">
        <v>141</v>
      </c>
      <c r="AI9">
        <v>141</v>
      </c>
      <c r="AJ9">
        <v>146</v>
      </c>
      <c r="AK9">
        <v>146</v>
      </c>
      <c r="AL9">
        <v>147</v>
      </c>
      <c r="AM9">
        <v>145</v>
      </c>
      <c r="AN9">
        <v>145</v>
      </c>
      <c r="AO9">
        <v>145</v>
      </c>
      <c r="AP9">
        <v>143</v>
      </c>
      <c r="AQ9">
        <v>144</v>
      </c>
      <c r="AR9">
        <v>143</v>
      </c>
      <c r="AS9">
        <v>146</v>
      </c>
      <c r="AT9">
        <v>147</v>
      </c>
      <c r="AU9">
        <v>147</v>
      </c>
      <c r="AV9">
        <v>146</v>
      </c>
      <c r="AW9" s="4">
        <f t="shared" si="0"/>
        <v>142.42105263157896</v>
      </c>
      <c r="AX9" s="4">
        <f t="shared" si="5"/>
        <v>6.2478066326750445</v>
      </c>
      <c r="AY9" s="4">
        <f t="shared" si="6"/>
        <v>19</v>
      </c>
      <c r="AZ9" s="4">
        <f t="shared" si="7"/>
        <v>1.4333451437165086</v>
      </c>
      <c r="BA9">
        <v>148</v>
      </c>
      <c r="BB9">
        <v>148</v>
      </c>
      <c r="BC9">
        <v>149</v>
      </c>
      <c r="BD9">
        <v>141</v>
      </c>
      <c r="BE9">
        <v>140</v>
      </c>
      <c r="BF9">
        <v>142</v>
      </c>
      <c r="BG9">
        <v>141</v>
      </c>
      <c r="BH9">
        <v>142</v>
      </c>
      <c r="BI9">
        <v>147</v>
      </c>
      <c r="BJ9">
        <v>148</v>
      </c>
      <c r="BK9">
        <v>141</v>
      </c>
      <c r="BL9">
        <v>140</v>
      </c>
      <c r="BM9">
        <v>139</v>
      </c>
      <c r="BN9">
        <v>139</v>
      </c>
      <c r="BO9">
        <v>140</v>
      </c>
      <c r="BP9">
        <v>139</v>
      </c>
      <c r="BQ9">
        <v>142</v>
      </c>
      <c r="BR9">
        <v>142</v>
      </c>
      <c r="BS9">
        <v>141</v>
      </c>
      <c r="BT9">
        <v>143</v>
      </c>
      <c r="BU9">
        <v>142</v>
      </c>
      <c r="BV9" s="4">
        <f t="shared" si="1"/>
        <v>142.57142857142858</v>
      </c>
      <c r="BW9" s="4">
        <f t="shared" si="16"/>
        <v>3.3101575275419828</v>
      </c>
      <c r="BX9" s="4">
        <f t="shared" si="8"/>
        <v>21</v>
      </c>
      <c r="BY9" s="4">
        <f t="shared" si="9"/>
        <v>0.72233559200900033</v>
      </c>
      <c r="BZ9">
        <v>138</v>
      </c>
      <c r="CA9">
        <v>138</v>
      </c>
      <c r="CB9">
        <v>138</v>
      </c>
      <c r="CC9">
        <v>138</v>
      </c>
      <c r="CD9">
        <v>138</v>
      </c>
      <c r="CE9">
        <v>137</v>
      </c>
      <c r="CF9">
        <v>141</v>
      </c>
      <c r="CG9">
        <v>142</v>
      </c>
      <c r="CH9">
        <v>142</v>
      </c>
      <c r="CI9">
        <v>136</v>
      </c>
      <c r="CJ9">
        <v>137</v>
      </c>
      <c r="CK9">
        <v>135</v>
      </c>
      <c r="CL9">
        <v>136</v>
      </c>
      <c r="CM9">
        <v>135</v>
      </c>
      <c r="CN9">
        <v>136</v>
      </c>
      <c r="CO9">
        <v>140</v>
      </c>
      <c r="CP9">
        <v>141</v>
      </c>
      <c r="CQ9">
        <v>140</v>
      </c>
      <c r="CR9">
        <v>149</v>
      </c>
      <c r="CS9">
        <v>146</v>
      </c>
      <c r="CT9">
        <v>147</v>
      </c>
      <c r="CU9">
        <v>146</v>
      </c>
      <c r="CV9">
        <v>144</v>
      </c>
      <c r="CW9" s="4">
        <f t="shared" si="2"/>
        <v>140</v>
      </c>
      <c r="CX9" s="4">
        <f t="shared" si="10"/>
        <v>4.0676104220358358</v>
      </c>
      <c r="CY9" s="4">
        <f t="shared" si="11"/>
        <v>23</v>
      </c>
      <c r="CZ9" s="4">
        <f t="shared" si="12"/>
        <v>0.84815540376325294</v>
      </c>
      <c r="DA9">
        <v>122</v>
      </c>
      <c r="DB9">
        <v>127</v>
      </c>
      <c r="DC9">
        <v>138</v>
      </c>
      <c r="DD9">
        <v>144</v>
      </c>
      <c r="DE9">
        <v>138</v>
      </c>
      <c r="DF9">
        <v>138</v>
      </c>
      <c r="DG9">
        <v>134</v>
      </c>
      <c r="DH9">
        <v>140</v>
      </c>
      <c r="DI9">
        <v>140</v>
      </c>
      <c r="DJ9">
        <v>140</v>
      </c>
      <c r="DK9">
        <v>130</v>
      </c>
      <c r="DL9">
        <v>132</v>
      </c>
      <c r="DM9">
        <v>130</v>
      </c>
      <c r="DN9">
        <v>137</v>
      </c>
      <c r="DO9">
        <v>136</v>
      </c>
      <c r="DP9">
        <v>134</v>
      </c>
      <c r="DQ9">
        <v>135</v>
      </c>
      <c r="DR9">
        <v>134</v>
      </c>
      <c r="DS9">
        <v>144</v>
      </c>
      <c r="DT9">
        <v>142</v>
      </c>
      <c r="DU9">
        <v>139</v>
      </c>
      <c r="DV9">
        <v>147</v>
      </c>
      <c r="DW9" s="4">
        <f t="shared" si="3"/>
        <v>136.40909090909091</v>
      </c>
      <c r="DX9" s="4">
        <f t="shared" si="13"/>
        <v>5.8931686917512573</v>
      </c>
      <c r="DY9" s="4">
        <f t="shared" si="14"/>
        <v>22</v>
      </c>
      <c r="DZ9" s="4">
        <f t="shared" si="15"/>
        <v>1.2564277866858236</v>
      </c>
    </row>
    <row r="10" spans="1:130" x14ac:dyDescent="0.25">
      <c r="A10" s="1" t="s">
        <v>117</v>
      </c>
      <c r="B10">
        <v>113</v>
      </c>
      <c r="C10">
        <v>117</v>
      </c>
      <c r="D10">
        <v>114</v>
      </c>
      <c r="E10">
        <v>119</v>
      </c>
      <c r="F10">
        <v>124</v>
      </c>
      <c r="G10">
        <v>124</v>
      </c>
      <c r="H10">
        <v>119</v>
      </c>
      <c r="I10">
        <v>116</v>
      </c>
      <c r="J10">
        <v>118</v>
      </c>
      <c r="K10">
        <v>118</v>
      </c>
      <c r="L10">
        <v>120</v>
      </c>
      <c r="M10">
        <v>118</v>
      </c>
      <c r="N10">
        <v>121</v>
      </c>
      <c r="O10">
        <v>120</v>
      </c>
      <c r="P10">
        <v>122</v>
      </c>
      <c r="Q10">
        <v>122</v>
      </c>
      <c r="R10">
        <v>122</v>
      </c>
      <c r="S10">
        <v>122</v>
      </c>
      <c r="T10">
        <v>112</v>
      </c>
      <c r="U10">
        <v>115</v>
      </c>
      <c r="V10">
        <v>117</v>
      </c>
      <c r="W10">
        <v>109</v>
      </c>
      <c r="X10">
        <v>118</v>
      </c>
      <c r="Y10">
        <v>118</v>
      </c>
      <c r="Z10" s="4">
        <f>AVERAGE(B10:Y10)</f>
        <v>118.25</v>
      </c>
      <c r="AA10" s="4">
        <f>_xlfn.STDEV.S(B10:Y10)</f>
        <v>3.7677117954951176</v>
      </c>
      <c r="AB10" s="4">
        <f t="shared" si="17"/>
        <v>24</v>
      </c>
      <c r="AC10" s="4">
        <f t="shared" si="4"/>
        <v>0.76908094973570684</v>
      </c>
      <c r="AD10">
        <v>98</v>
      </c>
      <c r="AE10">
        <v>96</v>
      </c>
      <c r="AF10">
        <v>106</v>
      </c>
      <c r="AG10">
        <v>105</v>
      </c>
      <c r="AH10">
        <v>105</v>
      </c>
      <c r="AI10">
        <v>104</v>
      </c>
      <c r="AJ10">
        <v>113</v>
      </c>
      <c r="AK10">
        <v>114</v>
      </c>
      <c r="AL10">
        <v>114</v>
      </c>
      <c r="AM10">
        <v>111</v>
      </c>
      <c r="AN10">
        <v>112</v>
      </c>
      <c r="AO10">
        <v>113</v>
      </c>
      <c r="AP10">
        <v>110</v>
      </c>
      <c r="AQ10">
        <v>108</v>
      </c>
      <c r="AR10">
        <v>110</v>
      </c>
      <c r="AS10">
        <v>116</v>
      </c>
      <c r="AT10">
        <v>117</v>
      </c>
      <c r="AU10">
        <v>117</v>
      </c>
      <c r="AV10">
        <v>117</v>
      </c>
      <c r="AW10" s="4">
        <f t="shared" si="0"/>
        <v>109.78947368421052</v>
      </c>
      <c r="AX10" s="4">
        <f t="shared" si="5"/>
        <v>6.1606181811786556</v>
      </c>
      <c r="AY10" s="4">
        <f t="shared" si="6"/>
        <v>19</v>
      </c>
      <c r="AZ10" s="4">
        <f t="shared" si="7"/>
        <v>1.4133427411314265</v>
      </c>
      <c r="BA10">
        <v>111</v>
      </c>
      <c r="BB10">
        <v>108</v>
      </c>
      <c r="BC10">
        <v>113</v>
      </c>
      <c r="BD10">
        <v>107</v>
      </c>
      <c r="BE10">
        <v>107</v>
      </c>
      <c r="BF10">
        <v>108</v>
      </c>
      <c r="BG10">
        <v>105</v>
      </c>
      <c r="BH10">
        <v>105</v>
      </c>
      <c r="BI10">
        <v>107</v>
      </c>
      <c r="BJ10">
        <v>109</v>
      </c>
      <c r="BK10">
        <v>106</v>
      </c>
      <c r="BL10">
        <v>105</v>
      </c>
      <c r="BM10">
        <v>106</v>
      </c>
      <c r="BN10">
        <v>106</v>
      </c>
      <c r="BO10">
        <v>105</v>
      </c>
      <c r="BP10">
        <v>104</v>
      </c>
      <c r="BQ10">
        <v>104</v>
      </c>
      <c r="BR10">
        <v>104</v>
      </c>
      <c r="BS10">
        <v>106</v>
      </c>
      <c r="BT10">
        <v>107</v>
      </c>
      <c r="BU10">
        <v>106</v>
      </c>
      <c r="BV10" s="4">
        <f t="shared" si="1"/>
        <v>106.61904761904762</v>
      </c>
      <c r="BW10" s="4">
        <f t="shared" si="16"/>
        <v>2.2688364964490155</v>
      </c>
      <c r="BX10" s="4">
        <f t="shared" si="8"/>
        <v>21</v>
      </c>
      <c r="BY10" s="4">
        <f t="shared" si="9"/>
        <v>0.49510071354552482</v>
      </c>
      <c r="BZ10">
        <v>99</v>
      </c>
      <c r="CA10">
        <v>99</v>
      </c>
      <c r="CB10">
        <v>98</v>
      </c>
      <c r="CC10">
        <v>100</v>
      </c>
      <c r="CD10">
        <v>101</v>
      </c>
      <c r="CE10">
        <v>100</v>
      </c>
      <c r="CF10">
        <v>102</v>
      </c>
      <c r="CG10">
        <v>101</v>
      </c>
      <c r="CH10">
        <v>103</v>
      </c>
      <c r="CI10">
        <v>98</v>
      </c>
      <c r="CJ10">
        <v>99</v>
      </c>
      <c r="CK10">
        <v>97</v>
      </c>
      <c r="CL10">
        <v>98</v>
      </c>
      <c r="CM10">
        <v>98</v>
      </c>
      <c r="CN10">
        <v>99</v>
      </c>
      <c r="CO10">
        <v>101</v>
      </c>
      <c r="CP10">
        <v>102</v>
      </c>
      <c r="CQ10">
        <v>98</v>
      </c>
      <c r="CR10">
        <v>113</v>
      </c>
      <c r="CS10">
        <v>109</v>
      </c>
      <c r="CT10">
        <v>108</v>
      </c>
      <c r="CU10">
        <v>108</v>
      </c>
      <c r="CV10">
        <v>107</v>
      </c>
      <c r="CW10" s="4">
        <f t="shared" si="2"/>
        <v>101.65217391304348</v>
      </c>
      <c r="CX10" s="4">
        <f t="shared" si="10"/>
        <v>4.3548165147880065</v>
      </c>
      <c r="CY10" s="4">
        <f t="shared" si="11"/>
        <v>23</v>
      </c>
      <c r="CZ10" s="4">
        <f t="shared" si="12"/>
        <v>0.90804201390709371</v>
      </c>
      <c r="DA10">
        <v>66</v>
      </c>
      <c r="DB10">
        <v>76</v>
      </c>
      <c r="DC10">
        <v>100</v>
      </c>
      <c r="DD10">
        <v>104</v>
      </c>
      <c r="DE10">
        <v>101</v>
      </c>
      <c r="DF10">
        <v>101</v>
      </c>
      <c r="DG10">
        <v>97</v>
      </c>
      <c r="DH10">
        <v>98</v>
      </c>
      <c r="DI10">
        <v>99</v>
      </c>
      <c r="DJ10">
        <v>98</v>
      </c>
      <c r="DK10">
        <v>81</v>
      </c>
      <c r="DL10">
        <v>82</v>
      </c>
      <c r="DM10">
        <v>84</v>
      </c>
      <c r="DN10">
        <v>99</v>
      </c>
      <c r="DO10">
        <v>98</v>
      </c>
      <c r="DP10">
        <v>94</v>
      </c>
      <c r="DQ10">
        <v>96</v>
      </c>
      <c r="DR10">
        <v>96</v>
      </c>
      <c r="DS10">
        <v>104</v>
      </c>
      <c r="DT10">
        <v>105</v>
      </c>
      <c r="DU10">
        <v>101</v>
      </c>
      <c r="DV10">
        <v>105</v>
      </c>
      <c r="DW10" s="4">
        <f t="shared" si="3"/>
        <v>94.772727272727266</v>
      </c>
      <c r="DX10" s="4">
        <f t="shared" si="13"/>
        <v>10.346068119876557</v>
      </c>
      <c r="DY10" s="4">
        <f t="shared" si="14"/>
        <v>22</v>
      </c>
      <c r="DZ10" s="4">
        <f t="shared" si="15"/>
        <v>2.2057891346216256</v>
      </c>
    </row>
    <row r="11" spans="1:130" x14ac:dyDescent="0.25">
      <c r="A11" s="1" t="s">
        <v>118</v>
      </c>
      <c r="B11">
        <v>165</v>
      </c>
      <c r="C11">
        <v>164</v>
      </c>
      <c r="D11">
        <v>162</v>
      </c>
      <c r="E11">
        <v>165</v>
      </c>
      <c r="F11">
        <v>167</v>
      </c>
      <c r="G11">
        <v>167</v>
      </c>
      <c r="H11">
        <v>165</v>
      </c>
      <c r="I11">
        <v>165</v>
      </c>
      <c r="J11">
        <v>165</v>
      </c>
      <c r="K11">
        <v>161</v>
      </c>
      <c r="L11">
        <v>161</v>
      </c>
      <c r="M11">
        <v>162</v>
      </c>
      <c r="N11">
        <v>164</v>
      </c>
      <c r="O11">
        <v>164</v>
      </c>
      <c r="P11">
        <v>163</v>
      </c>
      <c r="Q11">
        <v>161</v>
      </c>
      <c r="R11">
        <v>161</v>
      </c>
      <c r="S11">
        <v>162</v>
      </c>
      <c r="T11">
        <v>160</v>
      </c>
      <c r="U11">
        <v>162</v>
      </c>
      <c r="V11">
        <v>163</v>
      </c>
      <c r="W11">
        <v>158</v>
      </c>
      <c r="X11">
        <v>162</v>
      </c>
      <c r="Y11">
        <v>162</v>
      </c>
      <c r="Z11" s="4">
        <f>AVERAGE(B11:Y11)</f>
        <v>162.95833333333334</v>
      </c>
      <c r="AA11" s="4">
        <f>_xlfn.STDEV.S(B11:Y11)</f>
        <v>2.1964233112765039</v>
      </c>
      <c r="AB11" s="4">
        <f t="shared" si="17"/>
        <v>24</v>
      </c>
      <c r="AC11" s="4">
        <f t="shared" si="4"/>
        <v>0.44834303098180506</v>
      </c>
      <c r="AD11">
        <v>162</v>
      </c>
      <c r="AE11">
        <v>161</v>
      </c>
      <c r="AF11">
        <v>161</v>
      </c>
      <c r="AG11">
        <v>162</v>
      </c>
      <c r="AH11">
        <v>163</v>
      </c>
      <c r="AI11">
        <v>167</v>
      </c>
      <c r="AJ11">
        <v>166</v>
      </c>
      <c r="AK11">
        <v>166</v>
      </c>
      <c r="AL11">
        <v>165</v>
      </c>
      <c r="AM11">
        <v>164</v>
      </c>
      <c r="AN11">
        <v>162</v>
      </c>
      <c r="AO11">
        <v>163</v>
      </c>
      <c r="AP11">
        <v>162</v>
      </c>
      <c r="AQ11">
        <v>163</v>
      </c>
      <c r="AR11">
        <v>162</v>
      </c>
      <c r="AS11">
        <v>165</v>
      </c>
      <c r="AT11">
        <v>165</v>
      </c>
      <c r="AU11">
        <v>165</v>
      </c>
      <c r="AV11">
        <v>165</v>
      </c>
      <c r="AW11" s="4">
        <f t="shared" si="0"/>
        <v>163.63157894736841</v>
      </c>
      <c r="AX11" s="4">
        <f t="shared" si="5"/>
        <v>1.832136770603884</v>
      </c>
      <c r="AY11" s="4">
        <f t="shared" si="6"/>
        <v>19</v>
      </c>
      <c r="AZ11" s="4">
        <f t="shared" si="7"/>
        <v>0.42032100177933107</v>
      </c>
      <c r="BA11">
        <v>166</v>
      </c>
      <c r="BB11">
        <v>166</v>
      </c>
      <c r="BC11">
        <v>167</v>
      </c>
      <c r="BD11">
        <v>163</v>
      </c>
      <c r="BE11">
        <v>162</v>
      </c>
      <c r="BF11">
        <v>162</v>
      </c>
      <c r="BG11">
        <v>165</v>
      </c>
      <c r="BH11">
        <v>163</v>
      </c>
      <c r="BI11">
        <v>167</v>
      </c>
      <c r="BJ11">
        <v>168</v>
      </c>
      <c r="BK11">
        <v>161</v>
      </c>
      <c r="BL11">
        <v>162</v>
      </c>
      <c r="BM11">
        <v>162</v>
      </c>
      <c r="BN11">
        <v>162</v>
      </c>
      <c r="BO11">
        <v>162</v>
      </c>
      <c r="BP11">
        <v>162</v>
      </c>
      <c r="BQ11">
        <v>163</v>
      </c>
      <c r="BR11">
        <v>163</v>
      </c>
      <c r="BS11">
        <v>163</v>
      </c>
      <c r="BT11">
        <v>163</v>
      </c>
      <c r="BU11">
        <v>164</v>
      </c>
      <c r="BV11" s="4">
        <f t="shared" si="1"/>
        <v>163.61904761904762</v>
      </c>
      <c r="BW11" s="4">
        <f t="shared" si="16"/>
        <v>2.0365704131257152</v>
      </c>
      <c r="BX11" s="4">
        <f t="shared" si="8"/>
        <v>21</v>
      </c>
      <c r="BY11" s="4">
        <f t="shared" si="9"/>
        <v>0.44441609886933697</v>
      </c>
      <c r="BZ11">
        <v>159</v>
      </c>
      <c r="CA11">
        <v>159</v>
      </c>
      <c r="CB11">
        <v>160</v>
      </c>
      <c r="CC11">
        <v>160</v>
      </c>
      <c r="CD11">
        <v>159</v>
      </c>
      <c r="CE11">
        <v>159</v>
      </c>
      <c r="CF11">
        <v>162</v>
      </c>
      <c r="CG11">
        <v>164</v>
      </c>
      <c r="CH11">
        <v>162</v>
      </c>
      <c r="CI11">
        <v>161</v>
      </c>
      <c r="CJ11">
        <v>160</v>
      </c>
      <c r="CK11">
        <v>161</v>
      </c>
      <c r="CL11">
        <v>159</v>
      </c>
      <c r="CM11">
        <v>159</v>
      </c>
      <c r="CN11">
        <v>159</v>
      </c>
      <c r="CO11">
        <v>163</v>
      </c>
      <c r="CP11">
        <v>163</v>
      </c>
      <c r="CQ11">
        <v>165</v>
      </c>
      <c r="CR11">
        <v>169</v>
      </c>
      <c r="CS11">
        <v>170</v>
      </c>
      <c r="CT11">
        <v>168</v>
      </c>
      <c r="CU11">
        <v>170</v>
      </c>
      <c r="CV11">
        <v>168</v>
      </c>
      <c r="CW11" s="4">
        <f t="shared" si="2"/>
        <v>162.56521739130434</v>
      </c>
      <c r="CX11" s="4">
        <f t="shared" si="10"/>
        <v>3.8943559037584556</v>
      </c>
      <c r="CY11" s="4">
        <f t="shared" si="11"/>
        <v>23</v>
      </c>
      <c r="CZ11" s="4">
        <f t="shared" si="12"/>
        <v>0.81202933940190425</v>
      </c>
      <c r="DA11">
        <v>162</v>
      </c>
      <c r="DB11">
        <v>162</v>
      </c>
      <c r="DC11">
        <v>160</v>
      </c>
      <c r="DD11">
        <v>164</v>
      </c>
      <c r="DE11">
        <v>159</v>
      </c>
      <c r="DF11">
        <v>160</v>
      </c>
      <c r="DG11">
        <v>160</v>
      </c>
      <c r="DH11">
        <v>162</v>
      </c>
      <c r="DI11">
        <v>163</v>
      </c>
      <c r="DJ11">
        <v>162</v>
      </c>
      <c r="DK11">
        <v>163</v>
      </c>
      <c r="DL11">
        <v>164</v>
      </c>
      <c r="DM11">
        <v>164</v>
      </c>
      <c r="DN11">
        <v>158</v>
      </c>
      <c r="DO11">
        <v>159</v>
      </c>
      <c r="DP11">
        <v>164</v>
      </c>
      <c r="DQ11">
        <v>163</v>
      </c>
      <c r="DR11">
        <v>164</v>
      </c>
      <c r="DS11">
        <v>167</v>
      </c>
      <c r="DT11">
        <v>166</v>
      </c>
      <c r="DU11">
        <v>168</v>
      </c>
      <c r="DV11">
        <v>170</v>
      </c>
      <c r="DW11" s="4">
        <f t="shared" si="3"/>
        <v>162.90909090909091</v>
      </c>
      <c r="DX11" s="4">
        <f t="shared" si="13"/>
        <v>3.0222837613631075</v>
      </c>
      <c r="DY11" s="4">
        <f t="shared" si="14"/>
        <v>22</v>
      </c>
      <c r="DZ11" s="4">
        <f t="shared" si="15"/>
        <v>0.64435306295254324</v>
      </c>
    </row>
    <row r="12" spans="1:130" x14ac:dyDescent="0.25">
      <c r="A12" s="1" t="s">
        <v>119</v>
      </c>
      <c r="B12">
        <v>165</v>
      </c>
      <c r="C12">
        <v>163</v>
      </c>
      <c r="D12">
        <v>162</v>
      </c>
      <c r="E12">
        <v>165</v>
      </c>
      <c r="F12">
        <v>168</v>
      </c>
      <c r="G12">
        <v>169</v>
      </c>
      <c r="H12">
        <v>164</v>
      </c>
      <c r="I12">
        <v>165</v>
      </c>
      <c r="J12">
        <v>164</v>
      </c>
      <c r="K12">
        <v>163</v>
      </c>
      <c r="L12">
        <v>163</v>
      </c>
      <c r="M12">
        <v>164</v>
      </c>
      <c r="N12">
        <v>164</v>
      </c>
      <c r="O12">
        <v>165</v>
      </c>
      <c r="P12">
        <v>166</v>
      </c>
      <c r="Q12">
        <v>163</v>
      </c>
      <c r="R12">
        <v>163</v>
      </c>
      <c r="S12">
        <v>164</v>
      </c>
      <c r="T12">
        <v>161</v>
      </c>
      <c r="U12">
        <v>161</v>
      </c>
      <c r="V12">
        <v>163</v>
      </c>
      <c r="W12">
        <v>161</v>
      </c>
      <c r="X12">
        <v>164</v>
      </c>
      <c r="Y12">
        <v>164</v>
      </c>
      <c r="Z12" s="4">
        <f>AVERAGE(B12:Y12)</f>
        <v>163.91666666666666</v>
      </c>
      <c r="AA12" s="4">
        <f>_xlfn.STDEV.S(B12:Y12)</f>
        <v>1.9318084941243561</v>
      </c>
      <c r="AB12" s="4">
        <f t="shared" si="17"/>
        <v>24</v>
      </c>
      <c r="AC12" s="4">
        <f t="shared" si="4"/>
        <v>0.39432875761491898</v>
      </c>
      <c r="AD12">
        <v>162</v>
      </c>
      <c r="AE12">
        <v>160</v>
      </c>
      <c r="AF12">
        <v>160</v>
      </c>
      <c r="AG12">
        <v>159</v>
      </c>
      <c r="AH12">
        <v>162</v>
      </c>
      <c r="AI12">
        <v>164</v>
      </c>
      <c r="AJ12">
        <v>163</v>
      </c>
      <c r="AK12">
        <v>165</v>
      </c>
      <c r="AL12">
        <v>164</v>
      </c>
      <c r="AM12">
        <v>163</v>
      </c>
      <c r="AN12">
        <v>162</v>
      </c>
      <c r="AO12">
        <v>163</v>
      </c>
      <c r="AP12">
        <v>160</v>
      </c>
      <c r="AQ12">
        <v>164</v>
      </c>
      <c r="AR12">
        <v>160</v>
      </c>
      <c r="AS12">
        <v>162</v>
      </c>
      <c r="AT12">
        <v>162</v>
      </c>
      <c r="AU12">
        <v>164</v>
      </c>
      <c r="AV12">
        <v>163</v>
      </c>
      <c r="AW12" s="4">
        <f t="shared" si="0"/>
        <v>162.21052631578948</v>
      </c>
      <c r="AX12" s="4">
        <f t="shared" si="5"/>
        <v>1.7184924714030627</v>
      </c>
      <c r="AY12" s="4">
        <f t="shared" si="6"/>
        <v>19</v>
      </c>
      <c r="AZ12" s="4">
        <f t="shared" si="7"/>
        <v>0.39424921147796899</v>
      </c>
      <c r="BA12">
        <v>166</v>
      </c>
      <c r="BB12">
        <v>164</v>
      </c>
      <c r="BC12">
        <v>167</v>
      </c>
      <c r="BD12">
        <v>161</v>
      </c>
      <c r="BE12">
        <v>163</v>
      </c>
      <c r="BF12">
        <v>164</v>
      </c>
      <c r="BG12">
        <v>165</v>
      </c>
      <c r="BH12">
        <v>164</v>
      </c>
      <c r="BI12">
        <v>168</v>
      </c>
      <c r="BJ12">
        <v>169</v>
      </c>
      <c r="BK12">
        <v>162</v>
      </c>
      <c r="BL12">
        <v>162</v>
      </c>
      <c r="BM12">
        <v>162</v>
      </c>
      <c r="BN12">
        <v>161</v>
      </c>
      <c r="BO12">
        <v>164</v>
      </c>
      <c r="BP12">
        <v>163</v>
      </c>
      <c r="BQ12">
        <v>161</v>
      </c>
      <c r="BR12">
        <v>160</v>
      </c>
      <c r="BS12">
        <v>160</v>
      </c>
      <c r="BT12">
        <v>162</v>
      </c>
      <c r="BU12">
        <v>161</v>
      </c>
      <c r="BV12" s="4">
        <f t="shared" si="1"/>
        <v>163.28571428571428</v>
      </c>
      <c r="BW12" s="4">
        <f t="shared" si="16"/>
        <v>2.5523098781859765</v>
      </c>
      <c r="BX12" s="4">
        <f t="shared" si="8"/>
        <v>21</v>
      </c>
      <c r="BY12" s="4">
        <f t="shared" si="9"/>
        <v>0.55695967684622649</v>
      </c>
      <c r="BZ12">
        <v>160</v>
      </c>
      <c r="CA12">
        <v>160</v>
      </c>
      <c r="CB12">
        <v>160</v>
      </c>
      <c r="CC12">
        <v>159</v>
      </c>
      <c r="CD12">
        <v>157</v>
      </c>
      <c r="CE12">
        <v>154</v>
      </c>
      <c r="CF12">
        <v>160</v>
      </c>
      <c r="CG12">
        <v>163</v>
      </c>
      <c r="CH12">
        <v>162</v>
      </c>
      <c r="CI12">
        <v>162</v>
      </c>
      <c r="CJ12">
        <v>157</v>
      </c>
      <c r="CK12">
        <v>161</v>
      </c>
      <c r="CL12">
        <v>154</v>
      </c>
      <c r="CM12">
        <v>155</v>
      </c>
      <c r="CN12">
        <v>153</v>
      </c>
      <c r="CO12">
        <v>161</v>
      </c>
      <c r="CP12">
        <v>160</v>
      </c>
      <c r="CQ12">
        <v>162</v>
      </c>
      <c r="CR12">
        <v>169</v>
      </c>
      <c r="CS12">
        <v>170</v>
      </c>
      <c r="CT12">
        <v>168</v>
      </c>
      <c r="CU12">
        <v>169</v>
      </c>
      <c r="CV12">
        <v>166</v>
      </c>
      <c r="CW12" s="4">
        <f t="shared" si="2"/>
        <v>160.95652173913044</v>
      </c>
      <c r="CX12" s="4">
        <f t="shared" si="10"/>
        <v>4.9034149590738867</v>
      </c>
      <c r="CY12" s="4">
        <f t="shared" si="11"/>
        <v>23</v>
      </c>
      <c r="CZ12" s="4">
        <f t="shared" si="12"/>
        <v>1.0224326970699869</v>
      </c>
      <c r="DA12">
        <v>156</v>
      </c>
      <c r="DB12">
        <v>158</v>
      </c>
      <c r="DC12">
        <v>157</v>
      </c>
      <c r="DD12">
        <v>162</v>
      </c>
      <c r="DE12">
        <v>156</v>
      </c>
      <c r="DF12">
        <v>158</v>
      </c>
      <c r="DG12">
        <v>157</v>
      </c>
      <c r="DH12">
        <v>159</v>
      </c>
      <c r="DI12">
        <v>160</v>
      </c>
      <c r="DJ12">
        <v>160</v>
      </c>
      <c r="DK12">
        <v>166</v>
      </c>
      <c r="DL12">
        <v>160</v>
      </c>
      <c r="DM12">
        <v>160</v>
      </c>
      <c r="DN12">
        <v>156</v>
      </c>
      <c r="DO12">
        <v>155</v>
      </c>
      <c r="DP12">
        <v>158</v>
      </c>
      <c r="DQ12">
        <v>157</v>
      </c>
      <c r="DR12">
        <v>159</v>
      </c>
      <c r="DS12">
        <v>161</v>
      </c>
      <c r="DT12">
        <v>168</v>
      </c>
      <c r="DU12">
        <v>164</v>
      </c>
      <c r="DV12">
        <v>164</v>
      </c>
      <c r="DW12" s="4">
        <f t="shared" si="3"/>
        <v>159.59090909090909</v>
      </c>
      <c r="DX12" s="4">
        <f t="shared" si="13"/>
        <v>3.4317715945348515</v>
      </c>
      <c r="DY12" s="4">
        <f t="shared" si="14"/>
        <v>22</v>
      </c>
      <c r="DZ12" s="4">
        <f t="shared" si="15"/>
        <v>0.73165616232366582</v>
      </c>
    </row>
    <row r="13" spans="1:130" x14ac:dyDescent="0.25">
      <c r="A13" s="1" t="s">
        <v>120</v>
      </c>
      <c r="B13">
        <v>140</v>
      </c>
      <c r="C13">
        <v>137</v>
      </c>
      <c r="D13">
        <v>136</v>
      </c>
      <c r="E13">
        <v>141</v>
      </c>
      <c r="F13">
        <v>145</v>
      </c>
      <c r="G13">
        <v>146</v>
      </c>
      <c r="H13">
        <v>141</v>
      </c>
      <c r="I13">
        <v>142</v>
      </c>
      <c r="J13">
        <v>139</v>
      </c>
      <c r="K13">
        <v>139</v>
      </c>
      <c r="L13">
        <v>138</v>
      </c>
      <c r="M13">
        <v>139</v>
      </c>
      <c r="N13">
        <v>142</v>
      </c>
      <c r="O13">
        <v>142</v>
      </c>
      <c r="P13">
        <v>142</v>
      </c>
      <c r="Q13">
        <v>138</v>
      </c>
      <c r="R13">
        <v>140</v>
      </c>
      <c r="S13">
        <v>140</v>
      </c>
      <c r="T13">
        <v>135</v>
      </c>
      <c r="U13">
        <v>134</v>
      </c>
      <c r="V13">
        <v>139</v>
      </c>
      <c r="W13">
        <v>134</v>
      </c>
      <c r="X13">
        <v>138</v>
      </c>
      <c r="Y13">
        <v>142</v>
      </c>
      <c r="Z13" s="4">
        <f>AVERAGE(B13:Y13)</f>
        <v>139.54166666666666</v>
      </c>
      <c r="AA13" s="4">
        <f>_xlfn.STDEV.S(B13:Y13)</f>
        <v>3.0642279212916246</v>
      </c>
      <c r="AB13" s="4">
        <f t="shared" si="17"/>
        <v>24</v>
      </c>
      <c r="AC13" s="4">
        <f t="shared" si="4"/>
        <v>0.62548290522947125</v>
      </c>
      <c r="AD13">
        <v>134</v>
      </c>
      <c r="AE13">
        <v>132</v>
      </c>
      <c r="AF13">
        <v>132</v>
      </c>
      <c r="AG13">
        <v>128</v>
      </c>
      <c r="AH13">
        <v>134</v>
      </c>
      <c r="AI13">
        <v>131</v>
      </c>
      <c r="AJ13">
        <v>133</v>
      </c>
      <c r="AK13">
        <v>140</v>
      </c>
      <c r="AL13">
        <v>133</v>
      </c>
      <c r="AM13">
        <v>135</v>
      </c>
      <c r="AN13">
        <v>133</v>
      </c>
      <c r="AO13">
        <v>134</v>
      </c>
      <c r="AP13">
        <v>130</v>
      </c>
      <c r="AQ13">
        <v>139</v>
      </c>
      <c r="AR13">
        <v>130</v>
      </c>
      <c r="AS13">
        <v>139</v>
      </c>
      <c r="AT13">
        <v>139</v>
      </c>
      <c r="AU13">
        <v>141</v>
      </c>
      <c r="AV13">
        <v>137</v>
      </c>
      <c r="AW13" s="4">
        <f t="shared" si="0"/>
        <v>134.42105263157896</v>
      </c>
      <c r="AX13" s="4">
        <f t="shared" si="5"/>
        <v>3.7611432876732254</v>
      </c>
      <c r="AY13" s="4">
        <f t="shared" si="6"/>
        <v>19</v>
      </c>
      <c r="AZ13" s="4">
        <f t="shared" si="7"/>
        <v>0.86286544753389027</v>
      </c>
      <c r="BA13">
        <v>137</v>
      </c>
      <c r="BB13">
        <v>135</v>
      </c>
      <c r="BC13">
        <v>142</v>
      </c>
      <c r="BD13">
        <v>131</v>
      </c>
      <c r="BE13">
        <v>136</v>
      </c>
      <c r="BF13">
        <v>135</v>
      </c>
      <c r="BG13">
        <v>138</v>
      </c>
      <c r="BH13">
        <v>134</v>
      </c>
      <c r="BI13">
        <v>135</v>
      </c>
      <c r="BJ13">
        <v>139</v>
      </c>
      <c r="BK13">
        <v>137</v>
      </c>
      <c r="BL13">
        <v>136</v>
      </c>
      <c r="BM13">
        <v>137</v>
      </c>
      <c r="BN13">
        <v>136</v>
      </c>
      <c r="BO13">
        <v>137</v>
      </c>
      <c r="BP13">
        <v>138</v>
      </c>
      <c r="BQ13">
        <v>128</v>
      </c>
      <c r="BR13">
        <v>128</v>
      </c>
      <c r="BS13">
        <v>127</v>
      </c>
      <c r="BT13">
        <v>129</v>
      </c>
      <c r="BU13">
        <v>128</v>
      </c>
      <c r="BV13" s="4">
        <f t="shared" si="1"/>
        <v>134.42857142857142</v>
      </c>
      <c r="BW13" s="4">
        <f t="shared" si="16"/>
        <v>4.2375869144057514</v>
      </c>
      <c r="BX13" s="4">
        <f t="shared" si="8"/>
        <v>21</v>
      </c>
      <c r="BY13" s="4">
        <f t="shared" si="9"/>
        <v>0.92471727615327193</v>
      </c>
      <c r="BZ13">
        <v>131</v>
      </c>
      <c r="CA13">
        <v>128</v>
      </c>
      <c r="CB13">
        <v>134</v>
      </c>
      <c r="CC13">
        <v>125</v>
      </c>
      <c r="CD13">
        <v>129</v>
      </c>
      <c r="CE13">
        <v>124</v>
      </c>
      <c r="CF13">
        <v>124</v>
      </c>
      <c r="CG13">
        <v>130</v>
      </c>
      <c r="CH13">
        <v>130</v>
      </c>
      <c r="CI13">
        <v>134</v>
      </c>
      <c r="CJ13">
        <v>124</v>
      </c>
      <c r="CK13">
        <v>132</v>
      </c>
      <c r="CL13">
        <v>120</v>
      </c>
      <c r="CM13">
        <v>129</v>
      </c>
      <c r="CN13">
        <v>121</v>
      </c>
      <c r="CO13">
        <v>128</v>
      </c>
      <c r="CP13">
        <v>127</v>
      </c>
      <c r="CQ13">
        <v>130</v>
      </c>
      <c r="CR13">
        <v>142</v>
      </c>
      <c r="CS13">
        <v>147</v>
      </c>
      <c r="CT13">
        <v>138</v>
      </c>
      <c r="CU13">
        <v>139</v>
      </c>
      <c r="CV13">
        <v>136</v>
      </c>
      <c r="CW13" s="4">
        <f t="shared" si="2"/>
        <v>130.52173913043478</v>
      </c>
      <c r="CX13" s="4">
        <f t="shared" si="10"/>
        <v>6.666534913059075</v>
      </c>
      <c r="CY13" s="4">
        <f t="shared" si="11"/>
        <v>23</v>
      </c>
      <c r="CZ13" s="4">
        <f t="shared" si="12"/>
        <v>1.390068621187545</v>
      </c>
      <c r="DA13">
        <v>129</v>
      </c>
      <c r="DB13">
        <v>122</v>
      </c>
      <c r="DC13">
        <v>125</v>
      </c>
      <c r="DD13">
        <v>134</v>
      </c>
      <c r="DE13">
        <v>120</v>
      </c>
      <c r="DF13">
        <v>124</v>
      </c>
      <c r="DG13">
        <v>131</v>
      </c>
      <c r="DH13">
        <v>123</v>
      </c>
      <c r="DI13">
        <v>125</v>
      </c>
      <c r="DJ13">
        <v>124</v>
      </c>
      <c r="DK13">
        <v>138</v>
      </c>
      <c r="DL13">
        <v>125</v>
      </c>
      <c r="DM13">
        <v>125</v>
      </c>
      <c r="DN13">
        <v>116</v>
      </c>
      <c r="DO13">
        <v>117</v>
      </c>
      <c r="DP13">
        <v>127</v>
      </c>
      <c r="DQ13">
        <v>118</v>
      </c>
      <c r="DR13">
        <v>122</v>
      </c>
      <c r="DS13">
        <v>128</v>
      </c>
      <c r="DT13">
        <v>145</v>
      </c>
      <c r="DU13">
        <v>129</v>
      </c>
      <c r="DV13">
        <v>125</v>
      </c>
      <c r="DW13" s="4">
        <f t="shared" si="3"/>
        <v>126</v>
      </c>
      <c r="DX13" s="4">
        <f t="shared" si="13"/>
        <v>6.7330032922413858</v>
      </c>
      <c r="DY13" s="4">
        <f t="shared" si="14"/>
        <v>22</v>
      </c>
      <c r="DZ13" s="4">
        <f t="shared" si="15"/>
        <v>1.4354811251305468</v>
      </c>
    </row>
    <row r="14" spans="1:130" x14ac:dyDescent="0.25">
      <c r="A14" s="1" t="s">
        <v>121</v>
      </c>
      <c r="B14">
        <v>157</v>
      </c>
      <c r="C14">
        <v>155</v>
      </c>
      <c r="D14">
        <v>154</v>
      </c>
      <c r="E14">
        <v>158</v>
      </c>
      <c r="F14">
        <v>161</v>
      </c>
      <c r="G14">
        <v>161</v>
      </c>
      <c r="H14">
        <v>156</v>
      </c>
      <c r="I14">
        <v>157</v>
      </c>
      <c r="J14">
        <v>157</v>
      </c>
      <c r="K14">
        <v>154</v>
      </c>
      <c r="L14">
        <v>152</v>
      </c>
      <c r="M14">
        <v>154</v>
      </c>
      <c r="N14">
        <v>155</v>
      </c>
      <c r="O14">
        <v>155</v>
      </c>
      <c r="P14">
        <v>155</v>
      </c>
      <c r="Q14">
        <v>155</v>
      </c>
      <c r="R14">
        <v>155</v>
      </c>
      <c r="S14">
        <v>155</v>
      </c>
      <c r="T14">
        <v>153</v>
      </c>
      <c r="U14">
        <v>155</v>
      </c>
      <c r="V14">
        <v>154</v>
      </c>
      <c r="W14">
        <v>148</v>
      </c>
      <c r="X14">
        <v>154</v>
      </c>
      <c r="Y14">
        <v>155</v>
      </c>
      <c r="Z14" s="4">
        <f>AVERAGE(B14:Y14)</f>
        <v>155.20833333333334</v>
      </c>
      <c r="AA14" s="4">
        <f>_xlfn.STDEV.S(B14:Y14)</f>
        <v>2.6371784438917927</v>
      </c>
      <c r="AB14" s="4">
        <f t="shared" si="17"/>
        <v>24</v>
      </c>
      <c r="AC14" s="4">
        <f t="shared" si="4"/>
        <v>0.53831179568348753</v>
      </c>
      <c r="AD14">
        <v>152</v>
      </c>
      <c r="AE14">
        <v>153</v>
      </c>
      <c r="AF14">
        <v>152</v>
      </c>
      <c r="AG14">
        <v>153</v>
      </c>
      <c r="AH14">
        <v>152</v>
      </c>
      <c r="AI14">
        <v>152</v>
      </c>
      <c r="AJ14">
        <v>158</v>
      </c>
      <c r="AK14">
        <v>159</v>
      </c>
      <c r="AL14">
        <v>158</v>
      </c>
      <c r="AM14">
        <v>156</v>
      </c>
      <c r="AN14">
        <v>155</v>
      </c>
      <c r="AO14">
        <v>154</v>
      </c>
      <c r="AP14">
        <v>155</v>
      </c>
      <c r="AQ14">
        <v>154</v>
      </c>
      <c r="AR14">
        <v>153</v>
      </c>
      <c r="AS14">
        <v>157</v>
      </c>
      <c r="AT14">
        <v>158</v>
      </c>
      <c r="AU14">
        <v>157</v>
      </c>
      <c r="AV14">
        <v>157</v>
      </c>
      <c r="AW14" s="4">
        <f t="shared" si="0"/>
        <v>155</v>
      </c>
      <c r="AX14" s="4">
        <f t="shared" si="5"/>
        <v>2.4267032964268394</v>
      </c>
      <c r="AY14" s="4">
        <f t="shared" si="6"/>
        <v>19</v>
      </c>
      <c r="AZ14" s="4">
        <f t="shared" si="7"/>
        <v>0.5567239176358747</v>
      </c>
      <c r="BA14">
        <v>159</v>
      </c>
      <c r="BB14">
        <v>158</v>
      </c>
      <c r="BC14">
        <v>161</v>
      </c>
      <c r="BD14">
        <v>154</v>
      </c>
      <c r="BE14">
        <v>153</v>
      </c>
      <c r="BF14">
        <v>153</v>
      </c>
      <c r="BG14">
        <v>154</v>
      </c>
      <c r="BH14">
        <v>154</v>
      </c>
      <c r="BI14">
        <v>159</v>
      </c>
      <c r="BJ14">
        <v>160</v>
      </c>
      <c r="BK14">
        <v>153</v>
      </c>
      <c r="BL14">
        <v>153</v>
      </c>
      <c r="BM14">
        <v>153</v>
      </c>
      <c r="BN14">
        <v>152</v>
      </c>
      <c r="BO14">
        <v>150</v>
      </c>
      <c r="BP14">
        <v>152</v>
      </c>
      <c r="BQ14">
        <v>154</v>
      </c>
      <c r="BR14">
        <v>154</v>
      </c>
      <c r="BS14">
        <v>153</v>
      </c>
      <c r="BT14">
        <v>155</v>
      </c>
      <c r="BU14">
        <v>154</v>
      </c>
      <c r="BV14" s="4">
        <f t="shared" si="1"/>
        <v>154.66666666666666</v>
      </c>
      <c r="BW14" s="4">
        <f t="shared" si="16"/>
        <v>2.9382534494718677</v>
      </c>
      <c r="BX14" s="4">
        <f t="shared" si="8"/>
        <v>21</v>
      </c>
      <c r="BY14" s="4">
        <f t="shared" si="9"/>
        <v>0.64117946872237808</v>
      </c>
      <c r="BZ14">
        <v>149</v>
      </c>
      <c r="CA14">
        <v>149</v>
      </c>
      <c r="CB14">
        <v>150</v>
      </c>
      <c r="CC14">
        <v>152</v>
      </c>
      <c r="CD14">
        <v>152</v>
      </c>
      <c r="CE14">
        <v>152</v>
      </c>
      <c r="CF14">
        <v>155</v>
      </c>
      <c r="CG14">
        <v>157</v>
      </c>
      <c r="CH14">
        <v>155</v>
      </c>
      <c r="CI14">
        <v>151</v>
      </c>
      <c r="CJ14">
        <v>151</v>
      </c>
      <c r="CK14">
        <v>150</v>
      </c>
      <c r="CL14">
        <v>151</v>
      </c>
      <c r="CM14">
        <v>150</v>
      </c>
      <c r="CN14">
        <v>150</v>
      </c>
      <c r="CO14">
        <v>155</v>
      </c>
      <c r="CP14">
        <v>155</v>
      </c>
      <c r="CQ14">
        <v>155</v>
      </c>
      <c r="CR14">
        <v>162</v>
      </c>
      <c r="CS14">
        <v>160</v>
      </c>
      <c r="CT14">
        <v>159</v>
      </c>
      <c r="CU14">
        <v>160</v>
      </c>
      <c r="CV14">
        <v>157</v>
      </c>
      <c r="CW14" s="4">
        <f t="shared" si="2"/>
        <v>153.78260869565219</v>
      </c>
      <c r="CX14" s="4">
        <f t="shared" si="10"/>
        <v>3.9075279530103573</v>
      </c>
      <c r="CY14" s="4">
        <f t="shared" si="11"/>
        <v>23</v>
      </c>
      <c r="CZ14" s="4">
        <f t="shared" si="12"/>
        <v>0.81477590153359547</v>
      </c>
      <c r="DA14">
        <v>152</v>
      </c>
      <c r="DB14">
        <v>152</v>
      </c>
      <c r="DC14">
        <v>153</v>
      </c>
      <c r="DD14">
        <v>158</v>
      </c>
      <c r="DE14">
        <v>152</v>
      </c>
      <c r="DF14">
        <v>153</v>
      </c>
      <c r="DG14">
        <v>152</v>
      </c>
      <c r="DH14">
        <v>154</v>
      </c>
      <c r="DI14">
        <v>155</v>
      </c>
      <c r="DJ14">
        <v>155</v>
      </c>
      <c r="DK14">
        <v>155</v>
      </c>
      <c r="DL14">
        <v>156</v>
      </c>
      <c r="DM14">
        <v>155</v>
      </c>
      <c r="DN14">
        <v>151</v>
      </c>
      <c r="DO14">
        <v>151</v>
      </c>
      <c r="DP14">
        <v>155</v>
      </c>
      <c r="DQ14">
        <v>155</v>
      </c>
      <c r="DR14">
        <v>156</v>
      </c>
      <c r="DS14">
        <v>158</v>
      </c>
      <c r="DT14">
        <v>158</v>
      </c>
      <c r="DU14">
        <v>157</v>
      </c>
      <c r="DV14">
        <v>162</v>
      </c>
      <c r="DW14" s="4">
        <f t="shared" si="3"/>
        <v>154.77272727272728</v>
      </c>
      <c r="DX14" s="4">
        <f t="shared" si="13"/>
        <v>2.7417724225974736</v>
      </c>
      <c r="DY14" s="4">
        <f t="shared" si="14"/>
        <v>22</v>
      </c>
      <c r="DZ14" s="4">
        <f t="shared" si="15"/>
        <v>0.58454784458183884</v>
      </c>
    </row>
    <row r="15" spans="1:130" x14ac:dyDescent="0.25">
      <c r="A15" s="1" t="s">
        <v>122</v>
      </c>
      <c r="B15">
        <v>156</v>
      </c>
      <c r="C15">
        <v>155</v>
      </c>
      <c r="D15">
        <v>154</v>
      </c>
      <c r="E15">
        <v>157</v>
      </c>
      <c r="F15">
        <v>161</v>
      </c>
      <c r="G15">
        <v>161</v>
      </c>
      <c r="H15">
        <v>156</v>
      </c>
      <c r="I15">
        <v>157</v>
      </c>
      <c r="J15">
        <v>157</v>
      </c>
      <c r="K15">
        <v>156</v>
      </c>
      <c r="L15">
        <v>154</v>
      </c>
      <c r="M15">
        <v>157</v>
      </c>
      <c r="N15">
        <v>157</v>
      </c>
      <c r="O15">
        <v>158</v>
      </c>
      <c r="P15">
        <v>157</v>
      </c>
      <c r="Q15">
        <v>157</v>
      </c>
      <c r="R15">
        <v>157</v>
      </c>
      <c r="S15">
        <v>157</v>
      </c>
      <c r="T15">
        <v>153</v>
      </c>
      <c r="U15">
        <v>154</v>
      </c>
      <c r="V15">
        <v>154</v>
      </c>
      <c r="W15">
        <v>151</v>
      </c>
      <c r="X15">
        <v>157</v>
      </c>
      <c r="Y15">
        <v>156</v>
      </c>
      <c r="Z15" s="4">
        <f>AVERAGE(B15:Y15)</f>
        <v>156.20833333333334</v>
      </c>
      <c r="AA15" s="4">
        <f>_xlfn.STDEV.S(B15:Y15)</f>
        <v>2.2259178207938266</v>
      </c>
      <c r="AB15" s="4">
        <f t="shared" si="17"/>
        <v>24</v>
      </c>
      <c r="AC15" s="4">
        <f t="shared" si="4"/>
        <v>0.45436357252606357</v>
      </c>
      <c r="AD15">
        <v>151</v>
      </c>
      <c r="AE15">
        <v>150</v>
      </c>
      <c r="AF15">
        <v>150</v>
      </c>
      <c r="AG15">
        <v>150</v>
      </c>
      <c r="AH15">
        <v>150</v>
      </c>
      <c r="AI15">
        <v>150</v>
      </c>
      <c r="AJ15">
        <v>155</v>
      </c>
      <c r="AK15">
        <v>157</v>
      </c>
      <c r="AL15">
        <v>156</v>
      </c>
      <c r="AM15">
        <v>153</v>
      </c>
      <c r="AN15">
        <v>152</v>
      </c>
      <c r="AO15">
        <v>153</v>
      </c>
      <c r="AP15">
        <v>151</v>
      </c>
      <c r="AQ15">
        <v>151</v>
      </c>
      <c r="AR15">
        <v>151</v>
      </c>
      <c r="AS15">
        <v>155</v>
      </c>
      <c r="AT15">
        <v>154</v>
      </c>
      <c r="AU15">
        <v>155</v>
      </c>
      <c r="AV15">
        <v>153</v>
      </c>
      <c r="AW15" s="4">
        <f t="shared" si="0"/>
        <v>152.47368421052633</v>
      </c>
      <c r="AX15" s="4">
        <f t="shared" si="5"/>
        <v>2.2941573387056184</v>
      </c>
      <c r="AY15" s="4">
        <f t="shared" si="6"/>
        <v>19</v>
      </c>
      <c r="AZ15" s="4">
        <f t="shared" si="7"/>
        <v>0.52631578947368429</v>
      </c>
      <c r="BA15">
        <v>157</v>
      </c>
      <c r="BB15">
        <v>155</v>
      </c>
      <c r="BC15">
        <v>159</v>
      </c>
      <c r="BD15">
        <v>151</v>
      </c>
      <c r="BE15">
        <v>150</v>
      </c>
      <c r="BF15">
        <v>150</v>
      </c>
      <c r="BG15">
        <v>152</v>
      </c>
      <c r="BH15">
        <v>151</v>
      </c>
      <c r="BI15">
        <v>157</v>
      </c>
      <c r="BJ15">
        <v>157</v>
      </c>
      <c r="BK15">
        <v>151</v>
      </c>
      <c r="BL15">
        <v>151</v>
      </c>
      <c r="BM15">
        <v>151</v>
      </c>
      <c r="BN15">
        <v>150</v>
      </c>
      <c r="BO15">
        <v>151</v>
      </c>
      <c r="BP15">
        <v>150</v>
      </c>
      <c r="BQ15">
        <v>151</v>
      </c>
      <c r="BR15">
        <v>151</v>
      </c>
      <c r="BS15">
        <v>150</v>
      </c>
      <c r="BT15">
        <v>152</v>
      </c>
      <c r="BU15">
        <v>151</v>
      </c>
      <c r="BV15" s="4">
        <f t="shared" si="1"/>
        <v>152.28571428571428</v>
      </c>
      <c r="BW15" s="4">
        <f t="shared" si="16"/>
        <v>2.8309513797106636</v>
      </c>
      <c r="BX15" s="4">
        <f t="shared" si="8"/>
        <v>21</v>
      </c>
      <c r="BY15" s="4">
        <f t="shared" si="9"/>
        <v>0.61776423744113285</v>
      </c>
      <c r="BZ15">
        <v>147</v>
      </c>
      <c r="CA15">
        <v>147</v>
      </c>
      <c r="CB15">
        <v>148</v>
      </c>
      <c r="CC15">
        <v>147</v>
      </c>
      <c r="CD15">
        <v>147</v>
      </c>
      <c r="CE15">
        <v>147</v>
      </c>
      <c r="CF15">
        <v>152</v>
      </c>
      <c r="CG15">
        <v>153</v>
      </c>
      <c r="CH15">
        <v>152</v>
      </c>
      <c r="CI15">
        <v>148</v>
      </c>
      <c r="CJ15">
        <v>149</v>
      </c>
      <c r="CK15">
        <v>148</v>
      </c>
      <c r="CL15">
        <v>146</v>
      </c>
      <c r="CM15">
        <v>145</v>
      </c>
      <c r="CN15">
        <v>145</v>
      </c>
      <c r="CO15">
        <v>151</v>
      </c>
      <c r="CP15">
        <v>151</v>
      </c>
      <c r="CQ15">
        <v>151</v>
      </c>
      <c r="CR15">
        <v>160</v>
      </c>
      <c r="CS15">
        <v>159</v>
      </c>
      <c r="CT15">
        <v>157</v>
      </c>
      <c r="CU15">
        <v>157</v>
      </c>
      <c r="CV15">
        <v>154</v>
      </c>
      <c r="CW15" s="4">
        <f t="shared" si="2"/>
        <v>150.47826086956522</v>
      </c>
      <c r="CX15" s="4">
        <f t="shared" si="10"/>
        <v>4.4402043894130419</v>
      </c>
      <c r="CY15" s="4">
        <f t="shared" si="11"/>
        <v>23</v>
      </c>
      <c r="CZ15" s="4">
        <f t="shared" si="12"/>
        <v>0.92584661655211187</v>
      </c>
      <c r="DA15">
        <v>149</v>
      </c>
      <c r="DB15">
        <v>149</v>
      </c>
      <c r="DC15">
        <v>150</v>
      </c>
      <c r="DD15">
        <v>155</v>
      </c>
      <c r="DE15">
        <v>147</v>
      </c>
      <c r="DF15">
        <v>148</v>
      </c>
      <c r="DG15">
        <v>147</v>
      </c>
      <c r="DH15">
        <v>149</v>
      </c>
      <c r="DI15">
        <v>149</v>
      </c>
      <c r="DJ15">
        <v>148</v>
      </c>
      <c r="DK15">
        <v>152</v>
      </c>
      <c r="DL15">
        <v>150</v>
      </c>
      <c r="DM15">
        <v>152</v>
      </c>
      <c r="DN15">
        <v>146</v>
      </c>
      <c r="DO15">
        <v>147</v>
      </c>
      <c r="DP15">
        <v>149</v>
      </c>
      <c r="DQ15">
        <v>149</v>
      </c>
      <c r="DR15">
        <v>150</v>
      </c>
      <c r="DS15">
        <v>152</v>
      </c>
      <c r="DT15">
        <v>156</v>
      </c>
      <c r="DU15">
        <v>149</v>
      </c>
      <c r="DV15">
        <v>155</v>
      </c>
      <c r="DW15" s="4">
        <f t="shared" si="3"/>
        <v>149.90909090909091</v>
      </c>
      <c r="DX15" s="4">
        <f t="shared" si="13"/>
        <v>2.7239518020540343</v>
      </c>
      <c r="DY15" s="4">
        <f t="shared" si="14"/>
        <v>22</v>
      </c>
      <c r="DZ15" s="4">
        <f t="shared" si="15"/>
        <v>0.580748475516076</v>
      </c>
    </row>
    <row r="16" spans="1:130" x14ac:dyDescent="0.25">
      <c r="A16" s="1" t="s">
        <v>123</v>
      </c>
      <c r="B16">
        <v>128</v>
      </c>
      <c r="C16">
        <v>127</v>
      </c>
      <c r="D16">
        <v>125</v>
      </c>
      <c r="E16">
        <v>129</v>
      </c>
      <c r="F16">
        <v>133</v>
      </c>
      <c r="G16">
        <v>133</v>
      </c>
      <c r="H16">
        <v>128</v>
      </c>
      <c r="I16">
        <v>127</v>
      </c>
      <c r="J16">
        <v>127</v>
      </c>
      <c r="K16">
        <v>132</v>
      </c>
      <c r="L16">
        <v>128</v>
      </c>
      <c r="M16">
        <v>130</v>
      </c>
      <c r="N16">
        <v>133</v>
      </c>
      <c r="O16">
        <v>133</v>
      </c>
      <c r="P16">
        <v>132</v>
      </c>
      <c r="Q16">
        <v>132</v>
      </c>
      <c r="R16">
        <v>132</v>
      </c>
      <c r="S16">
        <v>131</v>
      </c>
      <c r="T16">
        <v>125</v>
      </c>
      <c r="U16">
        <v>124</v>
      </c>
      <c r="V16">
        <v>128</v>
      </c>
      <c r="W16">
        <v>123</v>
      </c>
      <c r="X16">
        <v>128</v>
      </c>
      <c r="Y16">
        <v>128</v>
      </c>
      <c r="Z16" s="4">
        <f>AVERAGE(B16:Y16)</f>
        <v>129</v>
      </c>
      <c r="AA16" s="4">
        <f>_xlfn.STDEV.S(B16:Y16)</f>
        <v>3.0645235107314952</v>
      </c>
      <c r="AB16" s="4">
        <f t="shared" si="17"/>
        <v>24</v>
      </c>
      <c r="AC16" s="4">
        <f t="shared" si="4"/>
        <v>0.62554324217122437</v>
      </c>
      <c r="AD16">
        <v>117</v>
      </c>
      <c r="AE16">
        <v>118</v>
      </c>
      <c r="AF16">
        <v>118</v>
      </c>
      <c r="AG16">
        <v>116</v>
      </c>
      <c r="AH16">
        <v>117</v>
      </c>
      <c r="AI16">
        <v>116</v>
      </c>
      <c r="AJ16">
        <v>123</v>
      </c>
      <c r="AK16">
        <v>123</v>
      </c>
      <c r="AL16">
        <v>123</v>
      </c>
      <c r="AM16">
        <v>124</v>
      </c>
      <c r="AN16">
        <v>124</v>
      </c>
      <c r="AO16">
        <v>124</v>
      </c>
      <c r="AP16">
        <v>123</v>
      </c>
      <c r="AQ16">
        <v>123</v>
      </c>
      <c r="AR16">
        <v>117</v>
      </c>
      <c r="AS16">
        <v>128</v>
      </c>
      <c r="AT16">
        <v>125</v>
      </c>
      <c r="AU16">
        <v>127</v>
      </c>
      <c r="AV16">
        <v>127</v>
      </c>
      <c r="AW16" s="4">
        <f t="shared" si="0"/>
        <v>121.73684210526316</v>
      </c>
      <c r="AX16" s="4">
        <f t="shared" si="5"/>
        <v>4.0116788569702315</v>
      </c>
      <c r="AY16" s="4">
        <f t="shared" si="6"/>
        <v>19</v>
      </c>
      <c r="AZ16" s="4">
        <f t="shared" si="7"/>
        <v>0.92034224902484196</v>
      </c>
      <c r="BA16">
        <v>122</v>
      </c>
      <c r="BB16">
        <v>122</v>
      </c>
      <c r="BC16">
        <v>125</v>
      </c>
      <c r="BD16">
        <v>118</v>
      </c>
      <c r="BE16">
        <v>117</v>
      </c>
      <c r="BF16">
        <v>117</v>
      </c>
      <c r="BG16">
        <v>116</v>
      </c>
      <c r="BH16">
        <v>115</v>
      </c>
      <c r="BI16">
        <v>119</v>
      </c>
      <c r="BJ16">
        <v>118</v>
      </c>
      <c r="BK16">
        <v>118</v>
      </c>
      <c r="BL16">
        <v>118</v>
      </c>
      <c r="BM16">
        <v>118</v>
      </c>
      <c r="BN16">
        <v>116</v>
      </c>
      <c r="BO16">
        <v>116</v>
      </c>
      <c r="BP16">
        <v>116</v>
      </c>
      <c r="BQ16">
        <v>120</v>
      </c>
      <c r="BR16">
        <v>119</v>
      </c>
      <c r="BS16">
        <v>117</v>
      </c>
      <c r="BT16">
        <v>118</v>
      </c>
      <c r="BU16">
        <v>117</v>
      </c>
      <c r="BV16" s="4">
        <f t="shared" si="1"/>
        <v>118.19047619047619</v>
      </c>
      <c r="BW16" s="4">
        <f t="shared" si="16"/>
        <v>2.4003967925959171</v>
      </c>
      <c r="BX16" s="4">
        <f t="shared" si="8"/>
        <v>21</v>
      </c>
      <c r="BY16" s="4">
        <f t="shared" si="9"/>
        <v>0.52380952380952406</v>
      </c>
      <c r="BZ16">
        <v>108</v>
      </c>
      <c r="CA16">
        <v>108</v>
      </c>
      <c r="CB16">
        <v>108</v>
      </c>
      <c r="CC16">
        <v>109</v>
      </c>
      <c r="CD16">
        <v>109</v>
      </c>
      <c r="CE16">
        <v>109</v>
      </c>
      <c r="CF16">
        <v>113</v>
      </c>
      <c r="CG16">
        <v>114</v>
      </c>
      <c r="CH16">
        <v>113</v>
      </c>
      <c r="CI16">
        <v>109</v>
      </c>
      <c r="CJ16">
        <v>109</v>
      </c>
      <c r="CK16">
        <v>108</v>
      </c>
      <c r="CL16">
        <v>108</v>
      </c>
      <c r="CM16">
        <v>108</v>
      </c>
      <c r="CN16">
        <v>108</v>
      </c>
      <c r="CO16">
        <v>113</v>
      </c>
      <c r="CP16">
        <v>112</v>
      </c>
      <c r="CQ16">
        <v>112</v>
      </c>
      <c r="CR16">
        <v>124</v>
      </c>
      <c r="CS16">
        <v>124</v>
      </c>
      <c r="CT16">
        <v>123</v>
      </c>
      <c r="CU16">
        <v>123</v>
      </c>
      <c r="CV16">
        <v>121</v>
      </c>
      <c r="CW16" s="4">
        <f t="shared" si="2"/>
        <v>112.73913043478261</v>
      </c>
      <c r="CX16" s="4">
        <f t="shared" si="10"/>
        <v>5.8869454288462233</v>
      </c>
      <c r="CY16" s="4">
        <f t="shared" si="11"/>
        <v>23</v>
      </c>
      <c r="CZ16" s="4">
        <f t="shared" si="12"/>
        <v>1.2275129766818451</v>
      </c>
      <c r="DA16">
        <v>112</v>
      </c>
      <c r="DB16">
        <v>112</v>
      </c>
      <c r="DC16">
        <v>113</v>
      </c>
      <c r="DD16">
        <v>118</v>
      </c>
      <c r="DE16">
        <v>109</v>
      </c>
      <c r="DF16">
        <v>111</v>
      </c>
      <c r="DG16">
        <v>110</v>
      </c>
      <c r="DH16">
        <v>110</v>
      </c>
      <c r="DI16">
        <v>110</v>
      </c>
      <c r="DJ16">
        <v>110</v>
      </c>
      <c r="DK16">
        <v>115</v>
      </c>
      <c r="DL16">
        <v>113</v>
      </c>
      <c r="DM16">
        <v>114</v>
      </c>
      <c r="DN16">
        <v>108</v>
      </c>
      <c r="DO16">
        <v>109</v>
      </c>
      <c r="DP16">
        <v>110</v>
      </c>
      <c r="DQ16">
        <v>111</v>
      </c>
      <c r="DR16">
        <v>112</v>
      </c>
      <c r="DS16">
        <v>114</v>
      </c>
      <c r="DT16">
        <v>121</v>
      </c>
      <c r="DU16">
        <v>113</v>
      </c>
      <c r="DV16">
        <v>117</v>
      </c>
      <c r="DW16" s="4">
        <f t="shared" si="3"/>
        <v>112.36363636363636</v>
      </c>
      <c r="DX16" s="4">
        <f t="shared" si="13"/>
        <v>3.2003787654626508</v>
      </c>
      <c r="DY16" s="4">
        <f t="shared" si="14"/>
        <v>22</v>
      </c>
      <c r="DZ16" s="4">
        <f t="shared" si="15"/>
        <v>0.68232304540592126</v>
      </c>
    </row>
    <row r="17" spans="1:130" x14ac:dyDescent="0.25">
      <c r="A17" s="1" t="s">
        <v>134</v>
      </c>
      <c r="B17">
        <v>62</v>
      </c>
      <c r="C17">
        <v>62</v>
      </c>
      <c r="D17">
        <v>62</v>
      </c>
      <c r="E17">
        <v>60</v>
      </c>
      <c r="F17">
        <v>64</v>
      </c>
      <c r="G17">
        <v>65</v>
      </c>
      <c r="H17">
        <v>60</v>
      </c>
      <c r="I17">
        <v>60</v>
      </c>
      <c r="J17">
        <v>62</v>
      </c>
      <c r="K17">
        <v>65</v>
      </c>
      <c r="L17">
        <v>65</v>
      </c>
      <c r="M17">
        <v>64</v>
      </c>
      <c r="N17">
        <v>60</v>
      </c>
      <c r="O17">
        <v>65</v>
      </c>
      <c r="P17">
        <v>70</v>
      </c>
      <c r="Q17">
        <v>65</v>
      </c>
      <c r="R17">
        <v>65</v>
      </c>
      <c r="S17">
        <v>65</v>
      </c>
      <c r="T17">
        <v>62</v>
      </c>
      <c r="U17">
        <v>58</v>
      </c>
      <c r="V17">
        <v>62</v>
      </c>
      <c r="W17">
        <v>66</v>
      </c>
      <c r="X17">
        <v>66</v>
      </c>
      <c r="Y17">
        <v>65</v>
      </c>
      <c r="Z17" s="4">
        <f>AVERAGE(B17:Y17)</f>
        <v>63.333333333333336</v>
      </c>
      <c r="AA17" s="4">
        <f>_xlfn.STDEV.S(B17:Y17)</f>
        <v>2.6811202503993452</v>
      </c>
      <c r="AB17" s="4">
        <f t="shared" si="17"/>
        <v>24</v>
      </c>
      <c r="AC17" s="4">
        <f t="shared" si="4"/>
        <v>0.54728137937678856</v>
      </c>
      <c r="AD17">
        <v>56</v>
      </c>
      <c r="AE17">
        <v>62</v>
      </c>
      <c r="AF17">
        <v>60</v>
      </c>
      <c r="AG17">
        <v>58</v>
      </c>
      <c r="AH17">
        <v>60</v>
      </c>
      <c r="AI17">
        <v>57</v>
      </c>
      <c r="AJ17">
        <v>56</v>
      </c>
      <c r="AK17">
        <v>58</v>
      </c>
      <c r="AL17">
        <v>58</v>
      </c>
      <c r="AM17">
        <v>60</v>
      </c>
      <c r="AN17">
        <v>60</v>
      </c>
      <c r="AO17">
        <v>60</v>
      </c>
      <c r="AP17">
        <v>58</v>
      </c>
      <c r="AQ17">
        <v>62</v>
      </c>
      <c r="AR17">
        <v>56</v>
      </c>
      <c r="AS17">
        <v>56</v>
      </c>
      <c r="AT17">
        <v>58</v>
      </c>
      <c r="AU17">
        <v>56</v>
      </c>
      <c r="AV17">
        <v>56</v>
      </c>
      <c r="AW17" s="4">
        <f t="shared" si="0"/>
        <v>58.263157894736842</v>
      </c>
      <c r="AX17" s="4">
        <f t="shared" si="5"/>
        <v>2.050531239111733</v>
      </c>
      <c r="AY17" s="4">
        <f t="shared" si="6"/>
        <v>19</v>
      </c>
      <c r="AZ17" s="4">
        <f t="shared" si="7"/>
        <v>0.47042412904533054</v>
      </c>
      <c r="BA17">
        <v>58</v>
      </c>
      <c r="BB17">
        <v>58</v>
      </c>
      <c r="BC17">
        <v>58</v>
      </c>
      <c r="BD17">
        <v>58</v>
      </c>
      <c r="BE17">
        <v>58</v>
      </c>
      <c r="BF17">
        <v>62</v>
      </c>
      <c r="BG17">
        <v>58</v>
      </c>
      <c r="BH17">
        <v>60</v>
      </c>
      <c r="BI17">
        <v>58</v>
      </c>
      <c r="BJ17">
        <v>58</v>
      </c>
      <c r="BK17">
        <v>58</v>
      </c>
      <c r="BL17">
        <v>60</v>
      </c>
      <c r="BM17">
        <v>56</v>
      </c>
      <c r="BN17">
        <v>58</v>
      </c>
      <c r="BO17">
        <v>64</v>
      </c>
      <c r="BP17">
        <v>58</v>
      </c>
      <c r="BQ17">
        <v>55</v>
      </c>
      <c r="BR17">
        <v>55</v>
      </c>
      <c r="BS17">
        <v>57</v>
      </c>
      <c r="BT17">
        <v>57</v>
      </c>
      <c r="BU17">
        <v>55</v>
      </c>
      <c r="BV17" s="4">
        <f t="shared" si="1"/>
        <v>58.047619047619051</v>
      </c>
      <c r="BW17" s="4">
        <f t="shared" si="16"/>
        <v>2.1558337244831862</v>
      </c>
      <c r="BX17" s="4">
        <f t="shared" si="8"/>
        <v>21</v>
      </c>
      <c r="BY17" s="4">
        <f t="shared" si="9"/>
        <v>0.4704414870563226</v>
      </c>
      <c r="BZ17">
        <v>60</v>
      </c>
      <c r="CA17">
        <v>60</v>
      </c>
      <c r="CB17">
        <v>58</v>
      </c>
      <c r="CC17">
        <v>54</v>
      </c>
      <c r="CD17">
        <v>55</v>
      </c>
      <c r="CE17">
        <v>51</v>
      </c>
      <c r="CF17">
        <v>54</v>
      </c>
      <c r="CG17">
        <v>56</v>
      </c>
      <c r="CH17">
        <v>57</v>
      </c>
      <c r="CI17">
        <v>58</v>
      </c>
      <c r="CJ17">
        <v>55</v>
      </c>
      <c r="CK17">
        <v>57</v>
      </c>
      <c r="CL17">
        <v>53</v>
      </c>
      <c r="CM17">
        <v>53</v>
      </c>
      <c r="CN17">
        <v>51</v>
      </c>
      <c r="CO17">
        <v>54</v>
      </c>
      <c r="CP17">
        <v>54</v>
      </c>
      <c r="CQ17">
        <v>54</v>
      </c>
      <c r="CR17">
        <v>56</v>
      </c>
      <c r="CS17">
        <v>58</v>
      </c>
      <c r="CT17">
        <v>58</v>
      </c>
      <c r="CU17">
        <v>57</v>
      </c>
      <c r="CV17">
        <v>57</v>
      </c>
      <c r="CW17" s="4">
        <f t="shared" si="2"/>
        <v>55.652173913043477</v>
      </c>
      <c r="CX17" s="4">
        <f t="shared" si="10"/>
        <v>2.5155641993609938</v>
      </c>
      <c r="CY17" s="4">
        <f t="shared" si="11"/>
        <v>23</v>
      </c>
      <c r="CZ17" s="4">
        <f t="shared" si="12"/>
        <v>0.52453139505271207</v>
      </c>
      <c r="DA17">
        <v>54</v>
      </c>
      <c r="DB17">
        <v>55</v>
      </c>
      <c r="DC17">
        <v>54</v>
      </c>
      <c r="DD17">
        <v>57</v>
      </c>
      <c r="DE17">
        <v>55</v>
      </c>
      <c r="DF17">
        <v>55</v>
      </c>
      <c r="DG17">
        <v>50</v>
      </c>
      <c r="DH17">
        <v>54</v>
      </c>
      <c r="DI17">
        <v>54</v>
      </c>
      <c r="DJ17">
        <v>56</v>
      </c>
      <c r="DK17">
        <v>62</v>
      </c>
      <c r="DL17">
        <v>54</v>
      </c>
      <c r="DM17">
        <v>55</v>
      </c>
      <c r="DN17">
        <v>54</v>
      </c>
      <c r="DO17">
        <v>53</v>
      </c>
      <c r="DP17">
        <v>53</v>
      </c>
      <c r="DQ17">
        <v>51</v>
      </c>
      <c r="DR17">
        <v>53</v>
      </c>
      <c r="DS17">
        <v>51</v>
      </c>
      <c r="DT17">
        <v>58</v>
      </c>
      <c r="DU17">
        <v>51</v>
      </c>
      <c r="DV17">
        <v>52</v>
      </c>
      <c r="DW17" s="4">
        <f t="shared" si="3"/>
        <v>54.136363636363633</v>
      </c>
      <c r="DX17" s="4">
        <f t="shared" si="13"/>
        <v>2.6420672740336268</v>
      </c>
      <c r="DY17" s="4">
        <f t="shared" si="14"/>
        <v>22</v>
      </c>
      <c r="DZ17" s="4">
        <f t="shared" si="15"/>
        <v>0.56329063548368408</v>
      </c>
    </row>
    <row r="18" spans="1:130" x14ac:dyDescent="0.25">
      <c r="A18" s="1" t="s">
        <v>135</v>
      </c>
      <c r="B18">
        <v>0.13</v>
      </c>
      <c r="C18">
        <v>0.12</v>
      </c>
      <c r="D18">
        <v>0.13</v>
      </c>
      <c r="E18">
        <v>0.12</v>
      </c>
      <c r="F18">
        <v>0.13</v>
      </c>
      <c r="G18">
        <v>0.12</v>
      </c>
      <c r="H18">
        <v>0.12</v>
      </c>
      <c r="I18">
        <v>0.12</v>
      </c>
      <c r="J18">
        <v>0.12</v>
      </c>
      <c r="K18">
        <v>0.11</v>
      </c>
      <c r="L18">
        <v>0.11</v>
      </c>
      <c r="M18">
        <v>0.12</v>
      </c>
      <c r="N18">
        <v>0.11</v>
      </c>
      <c r="O18">
        <v>0.11</v>
      </c>
      <c r="P18">
        <v>0.11</v>
      </c>
      <c r="Q18">
        <v>0.12</v>
      </c>
      <c r="R18">
        <v>0.11</v>
      </c>
      <c r="S18">
        <v>0.12</v>
      </c>
      <c r="T18">
        <v>0.12</v>
      </c>
      <c r="U18">
        <v>0.12</v>
      </c>
      <c r="V18">
        <v>0.12</v>
      </c>
      <c r="W18">
        <v>0.13</v>
      </c>
      <c r="X18">
        <v>0.12</v>
      </c>
      <c r="Y18">
        <v>0.12</v>
      </c>
      <c r="Z18" s="4">
        <f>AVERAGE(B18:Y18)</f>
        <v>0.1191666666666667</v>
      </c>
      <c r="AA18" s="4">
        <f>_xlfn.STDEV.S(B18:Y18)</f>
        <v>6.5386254815829456E-3</v>
      </c>
      <c r="AB18" s="4">
        <f t="shared" si="17"/>
        <v>24</v>
      </c>
      <c r="AC18" s="4">
        <f t="shared" si="4"/>
        <v>1.3346913374198454E-3</v>
      </c>
      <c r="AD18">
        <v>0.13</v>
      </c>
      <c r="AE18">
        <v>0.11</v>
      </c>
      <c r="AF18">
        <v>0.13</v>
      </c>
      <c r="AG18">
        <v>0.14000000000000001</v>
      </c>
      <c r="AH18">
        <v>0.13</v>
      </c>
      <c r="AI18">
        <v>0.15</v>
      </c>
      <c r="AJ18">
        <v>0.14000000000000001</v>
      </c>
      <c r="AK18">
        <v>0.13</v>
      </c>
      <c r="AL18">
        <v>0.14000000000000001</v>
      </c>
      <c r="AM18">
        <v>0.13</v>
      </c>
      <c r="AN18">
        <v>0.13</v>
      </c>
      <c r="AO18">
        <v>0.13</v>
      </c>
      <c r="AP18">
        <v>0.13</v>
      </c>
      <c r="AQ18">
        <v>0.13</v>
      </c>
      <c r="AR18">
        <v>0.14000000000000001</v>
      </c>
      <c r="AS18">
        <v>0.13</v>
      </c>
      <c r="AT18">
        <v>0.12</v>
      </c>
      <c r="AU18">
        <v>0.13</v>
      </c>
      <c r="AV18">
        <v>0.13</v>
      </c>
      <c r="AW18" s="4">
        <f t="shared" si="0"/>
        <v>0.13157894736842102</v>
      </c>
      <c r="AX18" s="4">
        <f t="shared" si="5"/>
        <v>8.3421006512061375E-3</v>
      </c>
      <c r="AY18" s="4">
        <f t="shared" si="6"/>
        <v>19</v>
      </c>
      <c r="AZ18" s="4">
        <f t="shared" si="7"/>
        <v>1.913809142918547E-3</v>
      </c>
      <c r="BA18">
        <v>0.15</v>
      </c>
      <c r="BB18">
        <v>0.16</v>
      </c>
      <c r="BC18">
        <v>0.14000000000000001</v>
      </c>
      <c r="BD18">
        <v>0.14000000000000001</v>
      </c>
      <c r="BE18">
        <v>0.13</v>
      </c>
      <c r="BF18">
        <v>0.14000000000000001</v>
      </c>
      <c r="BG18">
        <v>0.14000000000000001</v>
      </c>
      <c r="BH18">
        <v>0.14000000000000001</v>
      </c>
      <c r="BI18">
        <v>0.16</v>
      </c>
      <c r="BJ18">
        <v>0.15</v>
      </c>
      <c r="BK18">
        <v>0.13</v>
      </c>
      <c r="BL18">
        <v>0.13</v>
      </c>
      <c r="BM18">
        <v>0.13</v>
      </c>
      <c r="BN18">
        <v>0.13</v>
      </c>
      <c r="BO18">
        <v>0.13</v>
      </c>
      <c r="BP18">
        <v>0.13</v>
      </c>
      <c r="BQ18">
        <v>0.16</v>
      </c>
      <c r="BR18">
        <v>0.16</v>
      </c>
      <c r="BS18">
        <v>0.15</v>
      </c>
      <c r="BT18">
        <v>0.15</v>
      </c>
      <c r="BU18">
        <v>0.15</v>
      </c>
      <c r="BV18" s="4">
        <f t="shared" si="1"/>
        <v>0.14285714285714285</v>
      </c>
      <c r="BW18" s="4">
        <f t="shared" si="16"/>
        <v>1.1464230084422216E-2</v>
      </c>
      <c r="BX18" s="4">
        <f t="shared" si="8"/>
        <v>21</v>
      </c>
      <c r="BY18" s="4">
        <f t="shared" si="9"/>
        <v>2.5017001022026092E-3</v>
      </c>
      <c r="BZ18">
        <v>0.14000000000000001</v>
      </c>
      <c r="CA18">
        <v>0.15</v>
      </c>
      <c r="CB18">
        <v>0.14000000000000001</v>
      </c>
      <c r="CC18">
        <v>0.16</v>
      </c>
      <c r="CD18">
        <v>0.14000000000000001</v>
      </c>
      <c r="CE18">
        <v>0.16</v>
      </c>
      <c r="CF18">
        <v>0.17</v>
      </c>
      <c r="CG18">
        <v>0.17</v>
      </c>
      <c r="CH18">
        <v>0.16</v>
      </c>
      <c r="CI18">
        <v>0.14000000000000001</v>
      </c>
      <c r="CJ18">
        <v>0.16</v>
      </c>
      <c r="CK18">
        <v>0.15</v>
      </c>
      <c r="CL18">
        <v>0.16</v>
      </c>
      <c r="CM18">
        <v>0.15</v>
      </c>
      <c r="CN18">
        <v>0.16</v>
      </c>
      <c r="CO18">
        <v>0.17</v>
      </c>
      <c r="CP18">
        <v>0.17</v>
      </c>
      <c r="CQ18">
        <v>0.17</v>
      </c>
      <c r="CR18">
        <v>0.15</v>
      </c>
      <c r="CS18">
        <v>0.14000000000000001</v>
      </c>
      <c r="CT18">
        <v>0.15</v>
      </c>
      <c r="CU18">
        <v>0.16</v>
      </c>
      <c r="CV18">
        <v>0.16</v>
      </c>
      <c r="CW18" s="4">
        <f t="shared" si="2"/>
        <v>0.15565217391304345</v>
      </c>
      <c r="CX18" s="4">
        <f t="shared" si="10"/>
        <v>1.0798184593432082E-2</v>
      </c>
      <c r="CY18" s="4">
        <f t="shared" si="11"/>
        <v>23</v>
      </c>
      <c r="CZ18" s="4">
        <f t="shared" si="12"/>
        <v>2.2515771333796227E-3</v>
      </c>
      <c r="DA18">
        <v>0.2</v>
      </c>
      <c r="DB18">
        <v>0.19</v>
      </c>
      <c r="DC18">
        <v>0.16</v>
      </c>
      <c r="DD18">
        <v>0.15</v>
      </c>
      <c r="DE18">
        <v>0.16</v>
      </c>
      <c r="DF18">
        <v>0.16</v>
      </c>
      <c r="DG18">
        <v>0.15</v>
      </c>
      <c r="DH18">
        <v>0.17</v>
      </c>
      <c r="DI18">
        <v>0.17</v>
      </c>
      <c r="DJ18">
        <v>0.17</v>
      </c>
      <c r="DK18">
        <v>0.15</v>
      </c>
      <c r="DL18">
        <v>0.19</v>
      </c>
      <c r="DM18">
        <v>0.18</v>
      </c>
      <c r="DN18">
        <v>0.17</v>
      </c>
      <c r="DO18">
        <v>0.17</v>
      </c>
      <c r="DP18">
        <v>0.16</v>
      </c>
      <c r="DQ18">
        <v>0.18</v>
      </c>
      <c r="DR18">
        <v>0.17</v>
      </c>
      <c r="DS18">
        <v>0.18</v>
      </c>
      <c r="DT18">
        <v>0.14000000000000001</v>
      </c>
      <c r="DU18">
        <v>0.18</v>
      </c>
      <c r="DV18">
        <v>0.2</v>
      </c>
      <c r="DW18" s="4">
        <f t="shared" si="3"/>
        <v>0.17045454545454547</v>
      </c>
      <c r="DX18" s="4">
        <f t="shared" si="13"/>
        <v>1.6176783106919362E-2</v>
      </c>
      <c r="DY18" s="4">
        <f t="shared" si="14"/>
        <v>22</v>
      </c>
      <c r="DZ18" s="4">
        <f t="shared" si="15"/>
        <v>3.4489017467245454E-3</v>
      </c>
    </row>
    <row r="19" spans="1:130" x14ac:dyDescent="0.25">
      <c r="A19" s="1" t="s">
        <v>139</v>
      </c>
      <c r="B19">
        <v>0.55000000000000004</v>
      </c>
      <c r="C19">
        <v>0.55000000000000004</v>
      </c>
      <c r="D19">
        <v>0.55000000000000004</v>
      </c>
      <c r="E19">
        <v>0.56000000000000005</v>
      </c>
      <c r="F19">
        <v>0.57999999999999996</v>
      </c>
      <c r="G19">
        <v>0.57999999999999996</v>
      </c>
      <c r="H19">
        <v>0.56000000000000005</v>
      </c>
      <c r="I19">
        <v>0.56000000000000005</v>
      </c>
      <c r="J19">
        <v>0.56000000000000005</v>
      </c>
      <c r="K19">
        <v>0.55000000000000004</v>
      </c>
      <c r="L19">
        <v>0.55000000000000004</v>
      </c>
      <c r="M19">
        <v>0.55000000000000004</v>
      </c>
      <c r="N19">
        <v>0.56000000000000005</v>
      </c>
      <c r="O19">
        <v>0.56000000000000005</v>
      </c>
      <c r="P19">
        <v>0.56999999999999995</v>
      </c>
      <c r="Q19">
        <v>0.56000000000000005</v>
      </c>
      <c r="R19">
        <v>0.56000000000000005</v>
      </c>
      <c r="S19">
        <v>0.56000000000000005</v>
      </c>
      <c r="T19">
        <v>0.54</v>
      </c>
      <c r="U19">
        <v>0.54</v>
      </c>
      <c r="V19">
        <v>0.55000000000000004</v>
      </c>
      <c r="W19">
        <v>0.53</v>
      </c>
      <c r="X19">
        <v>0.56000000000000005</v>
      </c>
      <c r="Y19">
        <v>0.56000000000000005</v>
      </c>
      <c r="Z19" s="4">
        <f>AVERAGE(B19:Y19)</f>
        <v>0.55625000000000013</v>
      </c>
      <c r="AA19" s="4">
        <f>_xlfn.STDEV.S(B19:Y19)</f>
        <v>1.1349200316589999E-2</v>
      </c>
      <c r="AB19" s="4">
        <f t="shared" si="17"/>
        <v>24</v>
      </c>
      <c r="AC19" s="4">
        <f t="shared" si="4"/>
        <v>2.3166458136899002E-3</v>
      </c>
      <c r="AD19">
        <v>0.52</v>
      </c>
      <c r="AE19">
        <v>0.5</v>
      </c>
      <c r="AF19">
        <v>0.53</v>
      </c>
      <c r="AG19">
        <v>0.52</v>
      </c>
      <c r="AH19">
        <v>0.53</v>
      </c>
      <c r="AI19">
        <v>0.53</v>
      </c>
      <c r="AJ19">
        <v>0.55000000000000004</v>
      </c>
      <c r="AK19">
        <v>0.55000000000000004</v>
      </c>
      <c r="AL19">
        <v>0.55000000000000004</v>
      </c>
      <c r="AM19">
        <v>0.54</v>
      </c>
      <c r="AN19">
        <v>0.54</v>
      </c>
      <c r="AO19">
        <v>0.54</v>
      </c>
      <c r="AP19">
        <v>0.53</v>
      </c>
      <c r="AQ19">
        <v>0.54</v>
      </c>
      <c r="AR19">
        <v>0.54</v>
      </c>
      <c r="AS19">
        <v>0.55000000000000004</v>
      </c>
      <c r="AT19">
        <v>0.55000000000000004</v>
      </c>
      <c r="AU19">
        <v>0.56000000000000005</v>
      </c>
      <c r="AV19">
        <v>0.55000000000000004</v>
      </c>
      <c r="AW19" s="4">
        <f t="shared" si="0"/>
        <v>0.53789473684210554</v>
      </c>
      <c r="AX19" s="4">
        <f t="shared" si="5"/>
        <v>1.4367767695018317E-2</v>
      </c>
      <c r="AY19" s="4">
        <f t="shared" si="6"/>
        <v>19</v>
      </c>
      <c r="AZ19" s="4">
        <f t="shared" si="7"/>
        <v>3.2961919698343764E-3</v>
      </c>
      <c r="BA19">
        <v>0.55000000000000004</v>
      </c>
      <c r="BB19">
        <v>0.55000000000000004</v>
      </c>
      <c r="BC19">
        <v>0.56000000000000005</v>
      </c>
      <c r="BD19">
        <v>0.53</v>
      </c>
      <c r="BE19">
        <v>0.54</v>
      </c>
      <c r="BF19">
        <v>0.54</v>
      </c>
      <c r="BG19">
        <v>0.54</v>
      </c>
      <c r="BH19">
        <v>0.53</v>
      </c>
      <c r="BI19">
        <v>0.55000000000000004</v>
      </c>
      <c r="BJ19">
        <v>0.55000000000000004</v>
      </c>
      <c r="BK19">
        <v>0.54</v>
      </c>
      <c r="BL19">
        <v>0.53</v>
      </c>
      <c r="BM19">
        <v>0.54</v>
      </c>
      <c r="BN19">
        <v>0.53</v>
      </c>
      <c r="BO19">
        <v>0.54</v>
      </c>
      <c r="BP19">
        <v>0.54</v>
      </c>
      <c r="BQ19">
        <v>0.53</v>
      </c>
      <c r="BR19">
        <v>0.53</v>
      </c>
      <c r="BS19">
        <v>0.53</v>
      </c>
      <c r="BT19">
        <v>0.53</v>
      </c>
      <c r="BU19">
        <v>0.53</v>
      </c>
      <c r="BV19" s="4">
        <f t="shared" si="1"/>
        <v>0.53857142857142848</v>
      </c>
      <c r="BW19" s="4">
        <f t="shared" si="16"/>
        <v>9.1025898983280035E-3</v>
      </c>
      <c r="BX19" s="4">
        <f t="shared" si="8"/>
        <v>21</v>
      </c>
      <c r="BY19" s="4">
        <f t="shared" si="9"/>
        <v>1.9863479632965934E-3</v>
      </c>
      <c r="BZ19">
        <v>0.52</v>
      </c>
      <c r="CA19">
        <v>0.51</v>
      </c>
      <c r="CB19">
        <v>0.52</v>
      </c>
      <c r="CC19">
        <v>0.52</v>
      </c>
      <c r="CD19">
        <v>0.52</v>
      </c>
      <c r="CE19">
        <v>0.52</v>
      </c>
      <c r="CF19">
        <v>0.52</v>
      </c>
      <c r="CG19">
        <v>0.53</v>
      </c>
      <c r="CH19">
        <v>0.53</v>
      </c>
      <c r="CI19">
        <v>0.52</v>
      </c>
      <c r="CJ19">
        <v>0.51</v>
      </c>
      <c r="CK19">
        <v>0.52</v>
      </c>
      <c r="CL19">
        <v>0.51</v>
      </c>
      <c r="CM19">
        <v>0.51</v>
      </c>
      <c r="CN19">
        <v>0.51</v>
      </c>
      <c r="CO19">
        <v>0.53</v>
      </c>
      <c r="CP19">
        <v>0.53</v>
      </c>
      <c r="CQ19">
        <v>0.53</v>
      </c>
      <c r="CR19">
        <v>0.56000000000000005</v>
      </c>
      <c r="CS19">
        <v>0.56000000000000005</v>
      </c>
      <c r="CT19">
        <v>0.55000000000000004</v>
      </c>
      <c r="CU19">
        <v>0.55000000000000004</v>
      </c>
      <c r="CV19">
        <v>0.55000000000000004</v>
      </c>
      <c r="CW19" s="4">
        <f t="shared" si="2"/>
        <v>0.52739130434782611</v>
      </c>
      <c r="CX19" s="4">
        <f t="shared" si="10"/>
        <v>1.6016296049038155E-2</v>
      </c>
      <c r="CY19" s="4">
        <f t="shared" si="11"/>
        <v>23</v>
      </c>
      <c r="CZ19" s="4">
        <f t="shared" si="12"/>
        <v>3.3396285860298326E-3</v>
      </c>
      <c r="DA19">
        <v>0.47</v>
      </c>
      <c r="DB19">
        <v>0.48</v>
      </c>
      <c r="DC19">
        <v>0.52</v>
      </c>
      <c r="DD19">
        <v>0.54</v>
      </c>
      <c r="DE19">
        <v>0.51</v>
      </c>
      <c r="DF19">
        <v>0.52</v>
      </c>
      <c r="DG19">
        <v>0.52</v>
      </c>
      <c r="DH19">
        <v>0.52</v>
      </c>
      <c r="DI19">
        <v>0.52</v>
      </c>
      <c r="DJ19">
        <v>0.52</v>
      </c>
      <c r="DK19">
        <v>0.5</v>
      </c>
      <c r="DL19">
        <v>0.5</v>
      </c>
      <c r="DM19">
        <v>0.5</v>
      </c>
      <c r="DN19">
        <v>0.5</v>
      </c>
      <c r="DO19">
        <v>0.5</v>
      </c>
      <c r="DP19">
        <v>0.51</v>
      </c>
      <c r="DQ19">
        <v>0.51</v>
      </c>
      <c r="DR19">
        <v>0.51</v>
      </c>
      <c r="DS19">
        <v>0.54</v>
      </c>
      <c r="DT19">
        <v>0.55000000000000004</v>
      </c>
      <c r="DU19">
        <v>0.53</v>
      </c>
      <c r="DV19">
        <v>0.54</v>
      </c>
      <c r="DW19" s="4">
        <f t="shared" si="3"/>
        <v>0.51409090909090904</v>
      </c>
      <c r="DX19" s="4">
        <f t="shared" si="13"/>
        <v>1.9434650182229379E-2</v>
      </c>
      <c r="DY19" s="4">
        <f t="shared" si="14"/>
        <v>22</v>
      </c>
      <c r="DZ19" s="4">
        <f t="shared" si="15"/>
        <v>4.1434813409719981E-3</v>
      </c>
    </row>
    <row r="20" spans="1:130" x14ac:dyDescent="0.25">
      <c r="A20" s="1" t="s">
        <v>136</v>
      </c>
      <c r="B20">
        <v>67</v>
      </c>
      <c r="C20">
        <v>60</v>
      </c>
      <c r="D20">
        <v>65</v>
      </c>
      <c r="E20">
        <v>60</v>
      </c>
      <c r="F20">
        <v>65</v>
      </c>
      <c r="G20">
        <v>65</v>
      </c>
      <c r="H20">
        <v>65</v>
      </c>
      <c r="I20">
        <v>62</v>
      </c>
      <c r="J20">
        <v>65</v>
      </c>
      <c r="K20">
        <v>63</v>
      </c>
      <c r="L20">
        <v>60</v>
      </c>
      <c r="M20">
        <v>65</v>
      </c>
      <c r="N20">
        <v>64</v>
      </c>
      <c r="O20">
        <v>65</v>
      </c>
      <c r="P20">
        <v>67</v>
      </c>
      <c r="Q20">
        <v>70</v>
      </c>
      <c r="R20">
        <v>70</v>
      </c>
      <c r="S20">
        <v>65</v>
      </c>
      <c r="T20">
        <v>67</v>
      </c>
      <c r="U20">
        <v>60</v>
      </c>
      <c r="V20">
        <v>65</v>
      </c>
      <c r="W20">
        <v>70</v>
      </c>
      <c r="X20">
        <v>70</v>
      </c>
      <c r="Y20">
        <v>65</v>
      </c>
      <c r="Z20" s="4">
        <f>AVERAGE(B20:Y20)</f>
        <v>65</v>
      </c>
      <c r="AA20" s="4">
        <f>_xlfn.STDEV.S(B20:Y20)</f>
        <v>3.1346589856827709</v>
      </c>
      <c r="AB20" s="4">
        <f t="shared" si="17"/>
        <v>24</v>
      </c>
      <c r="AC20" s="4">
        <f t="shared" si="4"/>
        <v>0.63985958604608906</v>
      </c>
      <c r="AD20">
        <v>62</v>
      </c>
      <c r="AE20">
        <v>60</v>
      </c>
      <c r="AF20">
        <v>66</v>
      </c>
      <c r="AG20">
        <v>55</v>
      </c>
      <c r="AH20">
        <v>66</v>
      </c>
      <c r="AI20">
        <v>55</v>
      </c>
      <c r="AJ20">
        <v>66</v>
      </c>
      <c r="AK20">
        <v>58</v>
      </c>
      <c r="AL20">
        <v>58</v>
      </c>
      <c r="AM20">
        <v>70</v>
      </c>
      <c r="AN20">
        <v>60</v>
      </c>
      <c r="AO20">
        <v>66</v>
      </c>
      <c r="AP20">
        <v>62</v>
      </c>
      <c r="AQ20">
        <v>60</v>
      </c>
      <c r="AR20">
        <v>60</v>
      </c>
      <c r="AS20">
        <v>60</v>
      </c>
      <c r="AT20">
        <v>70</v>
      </c>
      <c r="AU20">
        <v>60</v>
      </c>
      <c r="AV20">
        <v>67</v>
      </c>
      <c r="AW20" s="4">
        <f t="shared" si="0"/>
        <v>62.157894736842103</v>
      </c>
      <c r="AX20" s="4">
        <f t="shared" si="5"/>
        <v>4.537046982524803</v>
      </c>
      <c r="AY20" s="4">
        <f t="shared" si="6"/>
        <v>19</v>
      </c>
      <c r="AZ20" s="4">
        <f t="shared" si="7"/>
        <v>1.0408699631011453</v>
      </c>
      <c r="BA20">
        <v>62</v>
      </c>
      <c r="BB20">
        <v>65</v>
      </c>
      <c r="BC20">
        <v>52</v>
      </c>
      <c r="BD20">
        <v>60</v>
      </c>
      <c r="BE20">
        <v>65</v>
      </c>
      <c r="BF20">
        <v>60</v>
      </c>
      <c r="BG20">
        <v>55</v>
      </c>
      <c r="BH20">
        <v>55</v>
      </c>
      <c r="BI20">
        <v>55</v>
      </c>
      <c r="BJ20">
        <v>57</v>
      </c>
      <c r="BK20">
        <v>62</v>
      </c>
      <c r="BL20">
        <v>64</v>
      </c>
      <c r="BM20">
        <v>55</v>
      </c>
      <c r="BN20">
        <v>55</v>
      </c>
      <c r="BO20">
        <v>69</v>
      </c>
      <c r="BP20">
        <v>55</v>
      </c>
      <c r="BQ20">
        <v>58</v>
      </c>
      <c r="BR20">
        <v>55</v>
      </c>
      <c r="BS20">
        <v>66</v>
      </c>
      <c r="BT20">
        <v>55</v>
      </c>
      <c r="BU20">
        <v>57</v>
      </c>
      <c r="BV20" s="4">
        <f t="shared" si="1"/>
        <v>58.904761904761905</v>
      </c>
      <c r="BW20" s="4">
        <f t="shared" si="16"/>
        <v>4.7529439498563617</v>
      </c>
      <c r="BX20" s="4">
        <f t="shared" si="8"/>
        <v>21</v>
      </c>
      <c r="BY20" s="4">
        <f t="shared" si="9"/>
        <v>1.0371774011475796</v>
      </c>
      <c r="BZ20">
        <v>55</v>
      </c>
      <c r="CA20">
        <v>60</v>
      </c>
      <c r="CB20">
        <v>66</v>
      </c>
      <c r="CC20">
        <v>62</v>
      </c>
      <c r="CD20">
        <v>65</v>
      </c>
      <c r="CE20">
        <v>54</v>
      </c>
      <c r="CF20">
        <v>57</v>
      </c>
      <c r="CG20">
        <v>57</v>
      </c>
      <c r="CH20">
        <v>53</v>
      </c>
      <c r="CI20">
        <v>57</v>
      </c>
      <c r="CJ20">
        <v>55</v>
      </c>
      <c r="CK20">
        <v>60</v>
      </c>
      <c r="CL20">
        <v>56</v>
      </c>
      <c r="CM20">
        <v>55</v>
      </c>
      <c r="CN20">
        <v>58</v>
      </c>
      <c r="CO20">
        <v>57</v>
      </c>
      <c r="CP20">
        <v>54</v>
      </c>
      <c r="CQ20">
        <v>57</v>
      </c>
      <c r="CR20">
        <v>55</v>
      </c>
      <c r="CS20">
        <v>55</v>
      </c>
      <c r="CT20">
        <v>64</v>
      </c>
      <c r="CU20">
        <v>66</v>
      </c>
      <c r="CV20">
        <v>66</v>
      </c>
      <c r="CW20" s="4">
        <f t="shared" si="2"/>
        <v>58.434782608695649</v>
      </c>
      <c r="CX20" s="4">
        <f t="shared" si="10"/>
        <v>4.3046073303815646</v>
      </c>
      <c r="CY20" s="4">
        <f t="shared" si="11"/>
        <v>23</v>
      </c>
      <c r="CZ20" s="4">
        <f t="shared" si="12"/>
        <v>0.89757267524030082</v>
      </c>
      <c r="DA20">
        <v>49</v>
      </c>
      <c r="DB20">
        <v>50</v>
      </c>
      <c r="DC20">
        <v>55</v>
      </c>
      <c r="DD20">
        <v>55</v>
      </c>
      <c r="DE20">
        <v>55</v>
      </c>
      <c r="DF20">
        <v>53</v>
      </c>
      <c r="DG20">
        <v>60</v>
      </c>
      <c r="DH20">
        <v>53</v>
      </c>
      <c r="DI20">
        <v>55</v>
      </c>
      <c r="DJ20">
        <v>59</v>
      </c>
      <c r="DK20">
        <v>51</v>
      </c>
      <c r="DL20">
        <v>57</v>
      </c>
      <c r="DM20">
        <v>54</v>
      </c>
      <c r="DN20">
        <v>53</v>
      </c>
      <c r="DO20">
        <v>57</v>
      </c>
      <c r="DP20">
        <v>56</v>
      </c>
      <c r="DQ20">
        <v>54</v>
      </c>
      <c r="DR20">
        <v>53</v>
      </c>
      <c r="DS20">
        <v>53</v>
      </c>
      <c r="DT20">
        <v>53</v>
      </c>
      <c r="DU20">
        <v>54</v>
      </c>
      <c r="DV20">
        <v>52</v>
      </c>
      <c r="DW20" s="4">
        <f t="shared" si="3"/>
        <v>54.136363636363633</v>
      </c>
      <c r="DX20" s="4">
        <f t="shared" si="13"/>
        <v>2.6420672740336268</v>
      </c>
      <c r="DY20" s="4">
        <f t="shared" si="14"/>
        <v>22</v>
      </c>
      <c r="DZ20" s="4">
        <f t="shared" si="15"/>
        <v>0.56329063548368408</v>
      </c>
    </row>
    <row r="21" spans="1:130" x14ac:dyDescent="0.25">
      <c r="A21" s="1" t="s">
        <v>137</v>
      </c>
      <c r="B21">
        <v>0.1</v>
      </c>
      <c r="C21">
        <v>0.1</v>
      </c>
      <c r="D21">
        <v>0.1</v>
      </c>
      <c r="E21">
        <v>0.11</v>
      </c>
      <c r="F21">
        <v>0.11</v>
      </c>
      <c r="G21">
        <v>0.11</v>
      </c>
      <c r="H21">
        <v>0.11</v>
      </c>
      <c r="I21">
        <v>0.11</v>
      </c>
      <c r="J21">
        <v>0.1</v>
      </c>
      <c r="K21">
        <v>0.09</v>
      </c>
      <c r="L21">
        <v>0.1</v>
      </c>
      <c r="M21">
        <v>0.11</v>
      </c>
      <c r="N21">
        <v>0.12</v>
      </c>
      <c r="O21">
        <v>0.11</v>
      </c>
      <c r="P21">
        <v>0.11</v>
      </c>
      <c r="Q21">
        <v>0.11</v>
      </c>
      <c r="R21">
        <v>0.11</v>
      </c>
      <c r="S21">
        <v>0.11</v>
      </c>
      <c r="T21">
        <v>0.1</v>
      </c>
      <c r="U21">
        <v>0.12</v>
      </c>
      <c r="V21">
        <v>0.1</v>
      </c>
      <c r="W21">
        <v>0.1</v>
      </c>
      <c r="X21">
        <v>0.11</v>
      </c>
      <c r="Y21">
        <v>0.11</v>
      </c>
      <c r="Z21" s="4">
        <f>AVERAGE(B21:Y21)</f>
        <v>0.10666666666666669</v>
      </c>
      <c r="AA21" s="4">
        <f>_xlfn.STDEV.S(B21:Y21)</f>
        <v>7.0196411816303358E-3</v>
      </c>
      <c r="AB21" s="4">
        <f t="shared" si="17"/>
        <v>24</v>
      </c>
      <c r="AC21" s="4">
        <f t="shared" si="4"/>
        <v>1.4328782560351582E-3</v>
      </c>
      <c r="AD21">
        <v>0.13</v>
      </c>
      <c r="AE21">
        <v>0.12</v>
      </c>
      <c r="AF21">
        <v>0.12</v>
      </c>
      <c r="AG21">
        <v>0.14000000000000001</v>
      </c>
      <c r="AH21">
        <v>0.13</v>
      </c>
      <c r="AI21">
        <v>0.14000000000000001</v>
      </c>
      <c r="AJ21">
        <v>0.13</v>
      </c>
      <c r="AK21">
        <v>0.12</v>
      </c>
      <c r="AL21">
        <v>0.13</v>
      </c>
      <c r="AM21">
        <v>0.13</v>
      </c>
      <c r="AN21">
        <v>0.12</v>
      </c>
      <c r="AO21">
        <v>0.12</v>
      </c>
      <c r="AP21">
        <v>0.14000000000000001</v>
      </c>
      <c r="AQ21">
        <v>0.12</v>
      </c>
      <c r="AR21">
        <v>0.14000000000000001</v>
      </c>
      <c r="AS21">
        <v>0.11</v>
      </c>
      <c r="AT21">
        <v>0.11</v>
      </c>
      <c r="AU21">
        <v>0.11</v>
      </c>
      <c r="AV21">
        <v>0.12</v>
      </c>
      <c r="AW21" s="4">
        <f t="shared" si="0"/>
        <v>0.12526315789473685</v>
      </c>
      <c r="AX21" s="4">
        <f t="shared" si="5"/>
        <v>1.0202625507753488E-2</v>
      </c>
      <c r="AY21" s="4">
        <f t="shared" si="6"/>
        <v>19</v>
      </c>
      <c r="AZ21" s="4">
        <f t="shared" si="7"/>
        <v>2.340642818267779E-3</v>
      </c>
      <c r="BA21">
        <v>0.15</v>
      </c>
      <c r="BB21">
        <v>0.15</v>
      </c>
      <c r="BC21">
        <v>0.17</v>
      </c>
      <c r="BD21">
        <v>0.12</v>
      </c>
      <c r="BE21">
        <v>0.11</v>
      </c>
      <c r="BF21">
        <v>0.11</v>
      </c>
      <c r="BG21">
        <v>0.15</v>
      </c>
      <c r="BH21">
        <v>0.14000000000000001</v>
      </c>
      <c r="BI21">
        <v>0.16</v>
      </c>
      <c r="BJ21">
        <v>0.17</v>
      </c>
      <c r="BK21">
        <v>0.12</v>
      </c>
      <c r="BL21">
        <v>0.14000000000000001</v>
      </c>
      <c r="BM21">
        <v>0.15</v>
      </c>
      <c r="BN21">
        <v>0.15</v>
      </c>
      <c r="BO21">
        <v>0.11</v>
      </c>
      <c r="BP21">
        <v>0.14000000000000001</v>
      </c>
      <c r="BQ21">
        <v>0.14000000000000001</v>
      </c>
      <c r="BR21">
        <v>0.15</v>
      </c>
      <c r="BS21">
        <v>0.12</v>
      </c>
      <c r="BT21">
        <v>0.14000000000000001</v>
      </c>
      <c r="BU21">
        <v>0.15</v>
      </c>
      <c r="BV21" s="4">
        <f t="shared" si="1"/>
        <v>0.13999999999999999</v>
      </c>
      <c r="BW21" s="4">
        <f t="shared" si="16"/>
        <v>1.8439088914586038E-2</v>
      </c>
      <c r="BX21" s="4">
        <f t="shared" si="8"/>
        <v>21</v>
      </c>
      <c r="BY21" s="4">
        <f t="shared" si="9"/>
        <v>4.0237390808148402E-3</v>
      </c>
      <c r="BZ21">
        <v>0.15</v>
      </c>
      <c r="CA21">
        <v>0.11</v>
      </c>
      <c r="CB21">
        <v>0.13</v>
      </c>
      <c r="CC21">
        <v>0.14000000000000001</v>
      </c>
      <c r="CD21">
        <v>0.15</v>
      </c>
      <c r="CE21">
        <v>0.17</v>
      </c>
      <c r="CF21">
        <v>0.17</v>
      </c>
      <c r="CG21">
        <v>0.17</v>
      </c>
      <c r="CH21">
        <v>0.17</v>
      </c>
      <c r="CI21">
        <v>0.16</v>
      </c>
      <c r="CJ21">
        <v>0.14000000000000001</v>
      </c>
      <c r="CK21">
        <v>0.13</v>
      </c>
      <c r="CL21">
        <v>0.17</v>
      </c>
      <c r="CM21">
        <v>0.16</v>
      </c>
      <c r="CN21">
        <v>0.15</v>
      </c>
      <c r="CO21">
        <v>0.16</v>
      </c>
      <c r="CP21">
        <v>0.17</v>
      </c>
      <c r="CQ21">
        <v>0.16</v>
      </c>
      <c r="CR21">
        <v>0.16</v>
      </c>
      <c r="CS21">
        <v>0.15</v>
      </c>
      <c r="CT21">
        <v>0.13</v>
      </c>
      <c r="CU21">
        <v>0.14000000000000001</v>
      </c>
      <c r="CV21">
        <v>0.14000000000000001</v>
      </c>
      <c r="CW21" s="4">
        <f t="shared" si="2"/>
        <v>0.15130434782608695</v>
      </c>
      <c r="CX21" s="4">
        <f t="shared" si="10"/>
        <v>1.6598014072359616E-2</v>
      </c>
      <c r="CY21" s="4">
        <f t="shared" si="11"/>
        <v>23</v>
      </c>
      <c r="CZ21" s="4">
        <f t="shared" si="12"/>
        <v>3.4609251788091469E-3</v>
      </c>
      <c r="DA21">
        <v>0.17</v>
      </c>
      <c r="DB21">
        <v>0.17</v>
      </c>
      <c r="DC21">
        <v>0.14000000000000001</v>
      </c>
      <c r="DD21">
        <v>0.15</v>
      </c>
      <c r="DE21">
        <v>0.15</v>
      </c>
      <c r="DF21">
        <v>0.17</v>
      </c>
      <c r="DG21">
        <v>0.15</v>
      </c>
      <c r="DH21">
        <v>0.17</v>
      </c>
      <c r="DI21">
        <v>0.15</v>
      </c>
      <c r="DJ21">
        <v>0.16</v>
      </c>
      <c r="DK21">
        <v>0.16</v>
      </c>
      <c r="DL21">
        <v>0.16</v>
      </c>
      <c r="DM21">
        <v>0.16</v>
      </c>
      <c r="DN21">
        <v>0.17</v>
      </c>
      <c r="DO21">
        <v>0.17</v>
      </c>
      <c r="DP21">
        <v>0.14000000000000001</v>
      </c>
      <c r="DQ21">
        <v>0.16</v>
      </c>
      <c r="DR21">
        <v>0.17</v>
      </c>
      <c r="DS21">
        <v>0.15</v>
      </c>
      <c r="DT21">
        <v>0.15</v>
      </c>
      <c r="DU21">
        <v>0.16</v>
      </c>
      <c r="DV21">
        <v>0.18</v>
      </c>
      <c r="DW21" s="4">
        <f t="shared" si="3"/>
        <v>0.15954545454545455</v>
      </c>
      <c r="DX21" s="4">
        <f t="shared" si="13"/>
        <v>1.090097100405138E-2</v>
      </c>
      <c r="DY21" s="4">
        <f t="shared" si="14"/>
        <v>22</v>
      </c>
      <c r="DZ21" s="4">
        <f t="shared" si="15"/>
        <v>2.3240948270354918E-3</v>
      </c>
    </row>
    <row r="22" spans="1:130" x14ac:dyDescent="0.25">
      <c r="A22" s="1" t="s">
        <v>138</v>
      </c>
      <c r="B22">
        <v>0.55000000000000004</v>
      </c>
      <c r="C22">
        <v>0.55000000000000004</v>
      </c>
      <c r="D22">
        <v>0.55000000000000004</v>
      </c>
      <c r="E22">
        <v>0.55000000000000004</v>
      </c>
      <c r="F22">
        <v>0.56999999999999995</v>
      </c>
      <c r="G22">
        <v>0.56000000000000005</v>
      </c>
      <c r="H22">
        <v>0.59</v>
      </c>
      <c r="I22">
        <v>0.57999999999999996</v>
      </c>
      <c r="J22">
        <v>0.57999999999999996</v>
      </c>
      <c r="K22">
        <v>0.55000000000000004</v>
      </c>
      <c r="L22">
        <v>0.54</v>
      </c>
      <c r="M22">
        <v>0.55000000000000004</v>
      </c>
      <c r="N22">
        <v>0.55000000000000004</v>
      </c>
      <c r="O22">
        <v>0.56000000000000005</v>
      </c>
      <c r="P22">
        <v>0.55000000000000004</v>
      </c>
      <c r="Q22">
        <v>0.56999999999999995</v>
      </c>
      <c r="R22">
        <v>0.59</v>
      </c>
      <c r="S22">
        <v>0.57999999999999996</v>
      </c>
      <c r="T22">
        <v>0.55000000000000004</v>
      </c>
      <c r="U22">
        <v>0.53</v>
      </c>
      <c r="V22">
        <v>0.57999999999999996</v>
      </c>
      <c r="W22">
        <v>0.53</v>
      </c>
      <c r="X22">
        <v>0.55000000000000004</v>
      </c>
      <c r="Y22">
        <v>0.59</v>
      </c>
      <c r="Z22" s="4">
        <f>AVERAGE(B22:Y22)</f>
        <v>0.56041666666666667</v>
      </c>
      <c r="AA22" s="4">
        <f>_xlfn.STDEV.S(B22:Y22)</f>
        <v>1.8292114401439793E-2</v>
      </c>
      <c r="AB22" s="4">
        <f t="shared" si="17"/>
        <v>24</v>
      </c>
      <c r="AC22" s="4">
        <f t="shared" si="4"/>
        <v>3.7338622166786027E-3</v>
      </c>
      <c r="AD22">
        <v>0.52</v>
      </c>
      <c r="AE22">
        <v>0.54</v>
      </c>
      <c r="AF22">
        <v>0.52</v>
      </c>
      <c r="AG22">
        <v>0.51</v>
      </c>
      <c r="AH22">
        <v>0.53</v>
      </c>
      <c r="AI22">
        <v>0.51</v>
      </c>
      <c r="AJ22">
        <v>0.55000000000000004</v>
      </c>
      <c r="AK22">
        <v>0.56000000000000005</v>
      </c>
      <c r="AL22">
        <v>0.55000000000000004</v>
      </c>
      <c r="AM22">
        <v>0.55000000000000004</v>
      </c>
      <c r="AN22">
        <v>0.54</v>
      </c>
      <c r="AO22">
        <v>0.54</v>
      </c>
      <c r="AP22">
        <v>0.52</v>
      </c>
      <c r="AQ22">
        <v>0.54</v>
      </c>
      <c r="AR22">
        <v>0.51</v>
      </c>
      <c r="AS22">
        <v>0.55000000000000004</v>
      </c>
      <c r="AT22">
        <v>0.55000000000000004</v>
      </c>
      <c r="AU22">
        <v>0.55000000000000004</v>
      </c>
      <c r="AV22">
        <v>0.56000000000000005</v>
      </c>
      <c r="AW22" s="4">
        <f t="shared" si="0"/>
        <v>0.5368421052631579</v>
      </c>
      <c r="AX22" s="4">
        <f t="shared" si="5"/>
        <v>1.7013926184468026E-2</v>
      </c>
      <c r="AY22" s="4">
        <f t="shared" si="6"/>
        <v>19</v>
      </c>
      <c r="AZ22" s="4">
        <f t="shared" si="7"/>
        <v>3.9032623616292988E-3</v>
      </c>
      <c r="BA22">
        <v>0.55000000000000004</v>
      </c>
      <c r="BB22">
        <v>0.55000000000000004</v>
      </c>
      <c r="BC22">
        <v>0.55000000000000004</v>
      </c>
      <c r="BD22">
        <v>0.53</v>
      </c>
      <c r="BE22">
        <v>0.54</v>
      </c>
      <c r="BF22">
        <v>0.53</v>
      </c>
      <c r="BG22">
        <v>0.51</v>
      </c>
      <c r="BH22">
        <v>0.52</v>
      </c>
      <c r="BI22">
        <v>0.53</v>
      </c>
      <c r="BJ22">
        <v>0.52</v>
      </c>
      <c r="BK22">
        <v>0.53</v>
      </c>
      <c r="BL22">
        <v>0.54</v>
      </c>
      <c r="BM22">
        <v>0.52</v>
      </c>
      <c r="BN22">
        <v>0.51</v>
      </c>
      <c r="BO22">
        <v>0.53</v>
      </c>
      <c r="BP22">
        <v>0.51</v>
      </c>
      <c r="BQ22">
        <v>0.51</v>
      </c>
      <c r="BR22">
        <v>0.51</v>
      </c>
      <c r="BS22">
        <v>0.54</v>
      </c>
      <c r="BT22">
        <v>0.51</v>
      </c>
      <c r="BU22">
        <v>0.52</v>
      </c>
      <c r="BV22" s="4">
        <f t="shared" si="1"/>
        <v>0.52666666666666673</v>
      </c>
      <c r="BW22" s="4">
        <f t="shared" si="16"/>
        <v>1.4259499757471638E-2</v>
      </c>
      <c r="BX22" s="4">
        <f t="shared" si="8"/>
        <v>21</v>
      </c>
      <c r="BY22" s="4">
        <f t="shared" si="9"/>
        <v>3.111677952896106E-3</v>
      </c>
      <c r="BZ22">
        <v>0.5</v>
      </c>
      <c r="CA22">
        <v>0.51</v>
      </c>
      <c r="CB22">
        <v>0.52</v>
      </c>
      <c r="CC22">
        <v>0.54</v>
      </c>
      <c r="CD22">
        <v>0.53</v>
      </c>
      <c r="CE22">
        <v>0.53</v>
      </c>
      <c r="CF22">
        <v>0.52</v>
      </c>
      <c r="CG22">
        <v>0.52</v>
      </c>
      <c r="CH22">
        <v>0.52</v>
      </c>
      <c r="CI22">
        <v>0.49</v>
      </c>
      <c r="CJ22">
        <v>0.52</v>
      </c>
      <c r="CK22">
        <v>0.5</v>
      </c>
      <c r="CL22">
        <v>0.52</v>
      </c>
      <c r="CM22">
        <v>0.52</v>
      </c>
      <c r="CN22">
        <v>0.53</v>
      </c>
      <c r="CO22">
        <v>0.51</v>
      </c>
      <c r="CP22">
        <v>0.51</v>
      </c>
      <c r="CQ22">
        <v>0.5</v>
      </c>
      <c r="CR22">
        <v>0.55000000000000004</v>
      </c>
      <c r="CS22">
        <v>0.53</v>
      </c>
      <c r="CT22">
        <v>0.55000000000000004</v>
      </c>
      <c r="CU22">
        <v>0.55000000000000004</v>
      </c>
      <c r="CV22">
        <v>0.54</v>
      </c>
      <c r="CW22" s="4">
        <f t="shared" si="2"/>
        <v>0.52217391304347838</v>
      </c>
      <c r="CX22" s="4">
        <f t="shared" si="10"/>
        <v>1.6775664663469709E-2</v>
      </c>
      <c r="CY22" s="4">
        <f t="shared" si="11"/>
        <v>23</v>
      </c>
      <c r="CZ22" s="4">
        <f t="shared" si="12"/>
        <v>3.4979678877213611E-3</v>
      </c>
      <c r="DA22">
        <v>0.5</v>
      </c>
      <c r="DB22">
        <v>0.52</v>
      </c>
      <c r="DC22">
        <v>0.51</v>
      </c>
      <c r="DD22">
        <v>0.54</v>
      </c>
      <c r="DE22">
        <v>0.5</v>
      </c>
      <c r="DF22">
        <v>0.5</v>
      </c>
      <c r="DG22">
        <v>0.49</v>
      </c>
      <c r="DH22">
        <v>0.5</v>
      </c>
      <c r="DI22">
        <v>0.52</v>
      </c>
      <c r="DJ22">
        <v>0.51</v>
      </c>
      <c r="DK22">
        <v>0.52</v>
      </c>
      <c r="DL22">
        <v>0.51</v>
      </c>
      <c r="DM22">
        <v>0.51</v>
      </c>
      <c r="DN22">
        <v>0.49</v>
      </c>
      <c r="DO22">
        <v>0.48</v>
      </c>
      <c r="DP22">
        <v>0.53</v>
      </c>
      <c r="DQ22">
        <v>0.52</v>
      </c>
      <c r="DR22">
        <v>0.51</v>
      </c>
      <c r="DS22">
        <v>0.54</v>
      </c>
      <c r="DT22">
        <v>0.53</v>
      </c>
      <c r="DU22">
        <v>0.51</v>
      </c>
      <c r="DV22">
        <v>0.53</v>
      </c>
      <c r="DW22" s="4">
        <f t="shared" si="3"/>
        <v>0.51227272727272721</v>
      </c>
      <c r="DX22" s="4">
        <f t="shared" si="13"/>
        <v>1.6015414652562291E-2</v>
      </c>
      <c r="DY22" s="4">
        <f t="shared" si="14"/>
        <v>22</v>
      </c>
      <c r="DZ22" s="4">
        <f t="shared" si="15"/>
        <v>3.4144978766584202E-3</v>
      </c>
    </row>
    <row r="23" spans="1:130" x14ac:dyDescent="0.25">
      <c r="A23" s="1" t="s">
        <v>140</v>
      </c>
      <c r="B23">
        <v>62</v>
      </c>
      <c r="C23">
        <v>64</v>
      </c>
      <c r="D23">
        <v>64</v>
      </c>
      <c r="E23">
        <v>62</v>
      </c>
      <c r="F23">
        <v>64</v>
      </c>
      <c r="G23">
        <v>64</v>
      </c>
      <c r="H23">
        <v>62</v>
      </c>
      <c r="I23">
        <v>60</v>
      </c>
      <c r="J23">
        <v>64</v>
      </c>
      <c r="K23">
        <v>64</v>
      </c>
      <c r="L23">
        <v>65</v>
      </c>
      <c r="M23">
        <v>64</v>
      </c>
      <c r="N23">
        <v>62</v>
      </c>
      <c r="O23">
        <v>64</v>
      </c>
      <c r="P23">
        <v>69</v>
      </c>
      <c r="Q23">
        <v>66</v>
      </c>
      <c r="R23">
        <v>64</v>
      </c>
      <c r="S23">
        <v>66</v>
      </c>
      <c r="T23">
        <v>62</v>
      </c>
      <c r="U23">
        <v>58</v>
      </c>
      <c r="V23">
        <v>62</v>
      </c>
      <c r="W23">
        <v>66</v>
      </c>
      <c r="X23">
        <v>66</v>
      </c>
      <c r="Y23">
        <v>64</v>
      </c>
      <c r="Z23" s="4">
        <f>AVERAGE(B23:Y23)</f>
        <v>63.666666666666664</v>
      </c>
      <c r="AA23" s="4">
        <f>_xlfn.STDEV.S(B23:Y23)</f>
        <v>2.2393063108076996</v>
      </c>
      <c r="AB23" s="4">
        <f t="shared" si="17"/>
        <v>24</v>
      </c>
      <c r="AC23" s="4">
        <f t="shared" si="4"/>
        <v>0.45709648660609165</v>
      </c>
      <c r="AD23">
        <v>55</v>
      </c>
      <c r="AE23">
        <v>67</v>
      </c>
      <c r="AF23">
        <v>62</v>
      </c>
      <c r="AG23">
        <v>60</v>
      </c>
      <c r="AH23">
        <v>62</v>
      </c>
      <c r="AI23">
        <v>58</v>
      </c>
      <c r="AJ23">
        <v>58</v>
      </c>
      <c r="AK23">
        <v>60</v>
      </c>
      <c r="AL23">
        <v>60</v>
      </c>
      <c r="AM23">
        <v>62</v>
      </c>
      <c r="AN23">
        <v>60</v>
      </c>
      <c r="AO23">
        <v>60</v>
      </c>
      <c r="AP23">
        <v>62</v>
      </c>
      <c r="AQ23">
        <v>62</v>
      </c>
      <c r="AR23">
        <v>57</v>
      </c>
      <c r="AS23">
        <v>58</v>
      </c>
      <c r="AT23">
        <v>62</v>
      </c>
      <c r="AU23">
        <v>56</v>
      </c>
      <c r="AV23">
        <v>58</v>
      </c>
      <c r="AW23" s="4">
        <f t="shared" si="0"/>
        <v>59.94736842105263</v>
      </c>
      <c r="AX23" s="4">
        <f t="shared" si="5"/>
        <v>2.7783625115549682</v>
      </c>
      <c r="AY23" s="4">
        <f t="shared" si="6"/>
        <v>19</v>
      </c>
      <c r="AZ23" s="4">
        <f t="shared" si="7"/>
        <v>0.63740007454684011</v>
      </c>
      <c r="BA23">
        <v>56</v>
      </c>
      <c r="BB23">
        <v>59</v>
      </c>
      <c r="BC23">
        <v>55</v>
      </c>
      <c r="BD23">
        <v>58</v>
      </c>
      <c r="BE23">
        <v>55</v>
      </c>
      <c r="BF23">
        <v>58</v>
      </c>
      <c r="BG23">
        <v>55</v>
      </c>
      <c r="BH23">
        <v>57</v>
      </c>
      <c r="BI23">
        <v>57</v>
      </c>
      <c r="BJ23">
        <v>57</v>
      </c>
      <c r="BK23">
        <v>57</v>
      </c>
      <c r="BL23">
        <v>58</v>
      </c>
      <c r="BM23">
        <v>55</v>
      </c>
      <c r="BN23">
        <v>57</v>
      </c>
      <c r="BO23">
        <v>63</v>
      </c>
      <c r="BP23">
        <v>55</v>
      </c>
      <c r="BQ23">
        <v>56</v>
      </c>
      <c r="BR23">
        <v>56</v>
      </c>
      <c r="BS23">
        <v>58</v>
      </c>
      <c r="BT23">
        <v>55</v>
      </c>
      <c r="BU23">
        <v>55</v>
      </c>
      <c r="BV23" s="4">
        <f t="shared" si="1"/>
        <v>56.761904761904759</v>
      </c>
      <c r="BW23" s="4">
        <f t="shared" si="16"/>
        <v>1.9210612146613628</v>
      </c>
      <c r="BX23" s="4">
        <f t="shared" si="8"/>
        <v>21</v>
      </c>
      <c r="BY23" s="4">
        <f t="shared" si="9"/>
        <v>0.41920992527759549</v>
      </c>
      <c r="BZ23">
        <v>57</v>
      </c>
      <c r="CA23">
        <v>59</v>
      </c>
      <c r="CB23">
        <v>57</v>
      </c>
      <c r="CC23">
        <v>52</v>
      </c>
      <c r="CD23">
        <v>54</v>
      </c>
      <c r="CE23">
        <v>50</v>
      </c>
      <c r="CF23">
        <v>52</v>
      </c>
      <c r="CG23">
        <v>55</v>
      </c>
      <c r="CH23">
        <v>53</v>
      </c>
      <c r="CI23">
        <v>54</v>
      </c>
      <c r="CJ23">
        <v>56</v>
      </c>
      <c r="CK23">
        <v>54</v>
      </c>
      <c r="CL23">
        <v>52</v>
      </c>
      <c r="CM23">
        <v>54</v>
      </c>
      <c r="CN23">
        <v>52</v>
      </c>
      <c r="CO23">
        <v>52</v>
      </c>
      <c r="CP23">
        <v>53</v>
      </c>
      <c r="CQ23">
        <v>54</v>
      </c>
      <c r="CR23">
        <v>54</v>
      </c>
      <c r="CS23">
        <v>55</v>
      </c>
      <c r="CT23">
        <v>57</v>
      </c>
      <c r="CU23">
        <v>56</v>
      </c>
      <c r="CV23">
        <v>57</v>
      </c>
      <c r="CW23" s="4">
        <f t="shared" si="2"/>
        <v>54.304347826086953</v>
      </c>
      <c r="CX23" s="4">
        <f t="shared" si="10"/>
        <v>2.2040207598571806</v>
      </c>
      <c r="CY23" s="4">
        <f t="shared" si="11"/>
        <v>23</v>
      </c>
      <c r="CZ23" s="4">
        <f t="shared" si="12"/>
        <v>0.45957009731124876</v>
      </c>
      <c r="DA23">
        <v>55</v>
      </c>
      <c r="DB23">
        <v>57</v>
      </c>
      <c r="DC23">
        <v>54</v>
      </c>
      <c r="DD23">
        <v>56</v>
      </c>
      <c r="DE23">
        <v>54</v>
      </c>
      <c r="DF23">
        <v>53</v>
      </c>
      <c r="DG23">
        <v>49</v>
      </c>
      <c r="DH23">
        <v>55</v>
      </c>
      <c r="DI23">
        <v>53</v>
      </c>
      <c r="DJ23">
        <v>54</v>
      </c>
      <c r="DK23">
        <v>58</v>
      </c>
      <c r="DL23">
        <v>54</v>
      </c>
      <c r="DM23">
        <v>54</v>
      </c>
      <c r="DN23">
        <v>53</v>
      </c>
      <c r="DO23">
        <v>53</v>
      </c>
      <c r="DP23">
        <v>53</v>
      </c>
      <c r="DQ23">
        <v>50</v>
      </c>
      <c r="DR23">
        <v>54</v>
      </c>
      <c r="DS23">
        <v>53</v>
      </c>
      <c r="DT23">
        <v>54</v>
      </c>
      <c r="DU23">
        <v>51</v>
      </c>
      <c r="DV23">
        <v>52</v>
      </c>
      <c r="DW23" s="4">
        <f t="shared" si="3"/>
        <v>53.590909090909093</v>
      </c>
      <c r="DX23" s="4">
        <f t="shared" si="13"/>
        <v>2.0391195791342542</v>
      </c>
      <c r="DY23" s="4">
        <f t="shared" si="14"/>
        <v>22</v>
      </c>
      <c r="DZ23" s="4">
        <f t="shared" si="15"/>
        <v>0.43474175500617385</v>
      </c>
    </row>
    <row r="24" spans="1:130" x14ac:dyDescent="0.25">
      <c r="A24" s="1" t="s">
        <v>141</v>
      </c>
      <c r="B24">
        <v>0.13</v>
      </c>
      <c r="C24">
        <v>0.12</v>
      </c>
      <c r="D24">
        <v>0.13</v>
      </c>
      <c r="E24">
        <v>0.12</v>
      </c>
      <c r="F24">
        <v>0.13</v>
      </c>
      <c r="G24">
        <v>0.12</v>
      </c>
      <c r="H24">
        <v>0.12</v>
      </c>
      <c r="I24">
        <v>0.13</v>
      </c>
      <c r="J24">
        <v>0.12</v>
      </c>
      <c r="K24">
        <v>0.11</v>
      </c>
      <c r="L24">
        <v>0.11</v>
      </c>
      <c r="M24">
        <v>0.12</v>
      </c>
      <c r="N24">
        <v>0.11</v>
      </c>
      <c r="O24">
        <v>0.11</v>
      </c>
      <c r="P24">
        <v>0.11</v>
      </c>
      <c r="Q24">
        <v>0.12</v>
      </c>
      <c r="R24">
        <v>0.11</v>
      </c>
      <c r="S24">
        <v>0.12</v>
      </c>
      <c r="T24">
        <v>0.13</v>
      </c>
      <c r="U24">
        <v>0.12</v>
      </c>
      <c r="V24">
        <v>0.12</v>
      </c>
      <c r="W24">
        <v>0.13</v>
      </c>
      <c r="X24">
        <v>0.12</v>
      </c>
      <c r="Y24">
        <v>0.13</v>
      </c>
      <c r="Z24" s="4">
        <f>AVERAGE(B24:Y24)</f>
        <v>0.12041666666666669</v>
      </c>
      <c r="AA24" s="4">
        <f>_xlfn.STDEV.S(B24:Y24)</f>
        <v>7.5060362182809209E-3</v>
      </c>
      <c r="AB24" s="4">
        <f t="shared" si="17"/>
        <v>24</v>
      </c>
      <c r="AC24" s="4">
        <f t="shared" si="4"/>
        <v>1.5321632271365127E-3</v>
      </c>
      <c r="AD24">
        <v>0.15</v>
      </c>
      <c r="AE24">
        <v>0.12</v>
      </c>
      <c r="AF24">
        <v>0.14000000000000001</v>
      </c>
      <c r="AG24">
        <v>0.15</v>
      </c>
      <c r="AH24">
        <v>0.15</v>
      </c>
      <c r="AI24">
        <v>0.15</v>
      </c>
      <c r="AJ24">
        <v>0.14000000000000001</v>
      </c>
      <c r="AK24">
        <v>0.13</v>
      </c>
      <c r="AL24">
        <v>0.13</v>
      </c>
      <c r="AM24">
        <v>0.13</v>
      </c>
      <c r="AN24">
        <v>0.13</v>
      </c>
      <c r="AO24">
        <v>0.13</v>
      </c>
      <c r="AP24">
        <v>0.13</v>
      </c>
      <c r="AQ24">
        <v>0.14000000000000001</v>
      </c>
      <c r="AR24">
        <v>0.14000000000000001</v>
      </c>
      <c r="AS24">
        <v>0.13</v>
      </c>
      <c r="AT24">
        <v>0.12</v>
      </c>
      <c r="AU24">
        <v>0.13</v>
      </c>
      <c r="AV24">
        <v>0.12</v>
      </c>
      <c r="AW24" s="4">
        <f t="shared" si="0"/>
        <v>0.13473684210526313</v>
      </c>
      <c r="AX24" s="4">
        <f t="shared" si="5"/>
        <v>1.0202625507753483E-2</v>
      </c>
      <c r="AY24" s="4">
        <f t="shared" si="6"/>
        <v>19</v>
      </c>
      <c r="AZ24" s="4">
        <f t="shared" si="7"/>
        <v>2.3406428182677782E-3</v>
      </c>
      <c r="BA24">
        <v>0.16</v>
      </c>
      <c r="BB24">
        <v>0.16</v>
      </c>
      <c r="BC24">
        <v>0.16</v>
      </c>
      <c r="BD24">
        <v>0.14000000000000001</v>
      </c>
      <c r="BE24">
        <v>0.14000000000000001</v>
      </c>
      <c r="BF24">
        <v>0.14000000000000001</v>
      </c>
      <c r="BG24">
        <v>0.16</v>
      </c>
      <c r="BH24">
        <v>0.16</v>
      </c>
      <c r="BI24">
        <v>0.17</v>
      </c>
      <c r="BJ24">
        <v>0.16</v>
      </c>
      <c r="BK24">
        <v>0.15</v>
      </c>
      <c r="BL24">
        <v>0.15</v>
      </c>
      <c r="BM24">
        <v>0.15</v>
      </c>
      <c r="BN24">
        <v>0.14000000000000001</v>
      </c>
      <c r="BO24">
        <v>0.14000000000000001</v>
      </c>
      <c r="BP24">
        <v>0.15</v>
      </c>
      <c r="BQ24">
        <v>0.16</v>
      </c>
      <c r="BR24">
        <v>0.16</v>
      </c>
      <c r="BS24">
        <v>0.15</v>
      </c>
      <c r="BT24">
        <v>0.15</v>
      </c>
      <c r="BU24">
        <v>0.16</v>
      </c>
      <c r="BV24" s="4">
        <f t="shared" si="1"/>
        <v>0.15285714285714286</v>
      </c>
      <c r="BW24" s="4">
        <f t="shared" si="16"/>
        <v>9.0237781127735714E-3</v>
      </c>
      <c r="BX24" s="4">
        <f t="shared" si="8"/>
        <v>21</v>
      </c>
      <c r="BY24" s="4">
        <f t="shared" si="9"/>
        <v>1.9691498217271736E-3</v>
      </c>
      <c r="BZ24">
        <v>0.17</v>
      </c>
      <c r="CA24">
        <v>0.17</v>
      </c>
      <c r="CB24">
        <v>0.18</v>
      </c>
      <c r="CC24">
        <v>0.18</v>
      </c>
      <c r="CD24">
        <v>0.17</v>
      </c>
      <c r="CE24">
        <v>0.18</v>
      </c>
      <c r="CF24">
        <v>0.18</v>
      </c>
      <c r="CG24">
        <v>0.18</v>
      </c>
      <c r="CH24">
        <v>0.18</v>
      </c>
      <c r="CI24">
        <v>0.18</v>
      </c>
      <c r="CJ24">
        <v>0.17</v>
      </c>
      <c r="CK24">
        <v>0.18</v>
      </c>
      <c r="CL24">
        <v>0.18</v>
      </c>
      <c r="CM24">
        <v>0.17</v>
      </c>
      <c r="CN24">
        <v>0.18</v>
      </c>
      <c r="CO24">
        <v>0.18</v>
      </c>
      <c r="CP24">
        <v>0.18</v>
      </c>
      <c r="CQ24">
        <v>0.19</v>
      </c>
      <c r="CR24">
        <v>0.16</v>
      </c>
      <c r="CS24">
        <v>0.16</v>
      </c>
      <c r="CT24">
        <v>0.16</v>
      </c>
      <c r="CU24">
        <v>0.16</v>
      </c>
      <c r="CV24">
        <v>0.15</v>
      </c>
      <c r="CW24" s="4">
        <f t="shared" si="2"/>
        <v>0.17347826086956525</v>
      </c>
      <c r="CX24" s="4">
        <f t="shared" si="10"/>
        <v>9.8205238020706159E-3</v>
      </c>
      <c r="CY24" s="4">
        <f t="shared" si="11"/>
        <v>23</v>
      </c>
      <c r="CZ24" s="4">
        <f t="shared" si="12"/>
        <v>2.0477207663223106E-3</v>
      </c>
      <c r="DA24">
        <v>0.32</v>
      </c>
      <c r="DB24">
        <v>0.26</v>
      </c>
      <c r="DC24">
        <v>0.17</v>
      </c>
      <c r="DD24">
        <v>0.17</v>
      </c>
      <c r="DE24">
        <v>0.17</v>
      </c>
      <c r="DF24">
        <v>0.17</v>
      </c>
      <c r="DG24">
        <v>0.19</v>
      </c>
      <c r="DH24">
        <v>0.19</v>
      </c>
      <c r="DI24">
        <v>0.19</v>
      </c>
      <c r="DJ24">
        <v>0.19</v>
      </c>
      <c r="DK24">
        <v>0.24</v>
      </c>
      <c r="DL24">
        <v>0.25</v>
      </c>
      <c r="DM24">
        <v>0.23</v>
      </c>
      <c r="DN24">
        <v>0.18</v>
      </c>
      <c r="DO24">
        <v>0.18</v>
      </c>
      <c r="DP24">
        <v>0.19</v>
      </c>
      <c r="DQ24">
        <v>0.2</v>
      </c>
      <c r="DR24">
        <v>0.18</v>
      </c>
      <c r="DS24">
        <v>0.18</v>
      </c>
      <c r="DT24">
        <v>0.16</v>
      </c>
      <c r="DU24">
        <v>0.18</v>
      </c>
      <c r="DV24">
        <v>0.19</v>
      </c>
      <c r="DW24" s="4">
        <f t="shared" si="3"/>
        <v>0.19909090909090912</v>
      </c>
      <c r="DX24" s="4">
        <f t="shared" si="13"/>
        <v>3.8285778897664435E-2</v>
      </c>
      <c r="DY24" s="4">
        <f t="shared" si="14"/>
        <v>22</v>
      </c>
      <c r="DZ24" s="4">
        <f t="shared" si="15"/>
        <v>8.1625554872145709E-3</v>
      </c>
    </row>
    <row r="25" spans="1:130" x14ac:dyDescent="0.25">
      <c r="A25" s="1" t="s">
        <v>142</v>
      </c>
      <c r="B25">
        <v>0.51</v>
      </c>
      <c r="C25">
        <v>0.52</v>
      </c>
      <c r="D25">
        <v>0.51</v>
      </c>
      <c r="E25">
        <v>0.52</v>
      </c>
      <c r="F25">
        <v>0.55000000000000004</v>
      </c>
      <c r="G25">
        <v>0.54</v>
      </c>
      <c r="H25">
        <v>0.52</v>
      </c>
      <c r="I25">
        <v>0.52</v>
      </c>
      <c r="J25">
        <v>0.52</v>
      </c>
      <c r="K25">
        <v>0.52</v>
      </c>
      <c r="L25">
        <v>0.52</v>
      </c>
      <c r="M25">
        <v>0.52</v>
      </c>
      <c r="N25">
        <v>0.53</v>
      </c>
      <c r="O25">
        <v>0.52</v>
      </c>
      <c r="P25">
        <v>0.53</v>
      </c>
      <c r="Q25">
        <v>0.53</v>
      </c>
      <c r="R25">
        <v>0.53</v>
      </c>
      <c r="S25">
        <v>0.54</v>
      </c>
      <c r="T25">
        <v>0.5</v>
      </c>
      <c r="U25">
        <v>0.51</v>
      </c>
      <c r="V25">
        <v>0.52</v>
      </c>
      <c r="W25">
        <v>0.49</v>
      </c>
      <c r="X25">
        <v>0.52</v>
      </c>
      <c r="Y25">
        <v>0.52</v>
      </c>
      <c r="Z25" s="4">
        <f>AVERAGE(B25:Y25)</f>
        <v>0.52124999999999988</v>
      </c>
      <c r="AA25" s="4">
        <f>_xlfn.STDEV.S(B25:Y25)</f>
        <v>1.2618998788920732E-2</v>
      </c>
      <c r="AB25" s="4">
        <f t="shared" si="17"/>
        <v>24</v>
      </c>
      <c r="AC25" s="4">
        <f t="shared" si="4"/>
        <v>2.5758423414712233E-3</v>
      </c>
      <c r="AD25">
        <v>0.45</v>
      </c>
      <c r="AE25">
        <v>0.43</v>
      </c>
      <c r="AF25">
        <v>0.48</v>
      </c>
      <c r="AG25">
        <v>0.48</v>
      </c>
      <c r="AH25">
        <v>0.48</v>
      </c>
      <c r="AI25">
        <v>0.48</v>
      </c>
      <c r="AJ25">
        <v>0.51</v>
      </c>
      <c r="AK25">
        <v>0.51</v>
      </c>
      <c r="AL25">
        <v>0.51</v>
      </c>
      <c r="AM25">
        <v>0.5</v>
      </c>
      <c r="AN25">
        <v>0.5</v>
      </c>
      <c r="AO25">
        <v>0.51</v>
      </c>
      <c r="AP25">
        <v>0.5</v>
      </c>
      <c r="AQ25">
        <v>0.49</v>
      </c>
      <c r="AR25">
        <v>0.5</v>
      </c>
      <c r="AS25">
        <v>0.52</v>
      </c>
      <c r="AT25">
        <v>0.52</v>
      </c>
      <c r="AU25">
        <v>0.52</v>
      </c>
      <c r="AV25">
        <v>0.52</v>
      </c>
      <c r="AW25" s="4">
        <f t="shared" si="0"/>
        <v>0.49526315789473674</v>
      </c>
      <c r="AX25" s="4">
        <f t="shared" si="5"/>
        <v>2.4351231101124048E-2</v>
      </c>
      <c r="AY25" s="4">
        <f t="shared" si="6"/>
        <v>19</v>
      </c>
      <c r="AZ25" s="4">
        <f t="shared" si="7"/>
        <v>5.5865555537160209E-3</v>
      </c>
      <c r="BA25">
        <v>0.51</v>
      </c>
      <c r="BB25">
        <v>0.5</v>
      </c>
      <c r="BC25">
        <v>0.52</v>
      </c>
      <c r="BD25">
        <v>0.49</v>
      </c>
      <c r="BE25">
        <v>0.49</v>
      </c>
      <c r="BF25">
        <v>0.49</v>
      </c>
      <c r="BG25">
        <v>0.49</v>
      </c>
      <c r="BH25">
        <v>0.49</v>
      </c>
      <c r="BI25">
        <v>0.5</v>
      </c>
      <c r="BJ25">
        <v>0.51</v>
      </c>
      <c r="BK25">
        <v>0.49</v>
      </c>
      <c r="BL25">
        <v>0.48</v>
      </c>
      <c r="BM25">
        <v>0.49</v>
      </c>
      <c r="BN25">
        <v>0.48</v>
      </c>
      <c r="BO25">
        <v>0.48</v>
      </c>
      <c r="BP25">
        <v>0.48</v>
      </c>
      <c r="BQ25">
        <v>0.49</v>
      </c>
      <c r="BR25">
        <v>0.49</v>
      </c>
      <c r="BS25">
        <v>0.49</v>
      </c>
      <c r="BT25">
        <v>0.5</v>
      </c>
      <c r="BU25">
        <v>0.49</v>
      </c>
      <c r="BV25" s="4">
        <f t="shared" si="1"/>
        <v>0.49285714285714299</v>
      </c>
      <c r="BW25" s="4">
        <f t="shared" si="16"/>
        <v>1.0555973258234961E-2</v>
      </c>
      <c r="BX25" s="4">
        <f t="shared" si="8"/>
        <v>21</v>
      </c>
      <c r="BY25" s="4">
        <f t="shared" si="9"/>
        <v>2.3035022137995876E-3</v>
      </c>
      <c r="BZ25">
        <v>0.47</v>
      </c>
      <c r="CA25">
        <v>0.47</v>
      </c>
      <c r="CB25">
        <v>0.47</v>
      </c>
      <c r="CC25">
        <v>0.48</v>
      </c>
      <c r="CD25">
        <v>0.48</v>
      </c>
      <c r="CE25">
        <v>0.48</v>
      </c>
      <c r="CF25">
        <v>0.49</v>
      </c>
      <c r="CG25">
        <v>0.48</v>
      </c>
      <c r="CH25">
        <v>0.49</v>
      </c>
      <c r="CI25">
        <v>0.47</v>
      </c>
      <c r="CJ25">
        <v>0.47</v>
      </c>
      <c r="CK25">
        <v>0.46</v>
      </c>
      <c r="CL25">
        <v>0.47</v>
      </c>
      <c r="CM25">
        <v>0.46</v>
      </c>
      <c r="CN25">
        <v>0.47</v>
      </c>
      <c r="CO25">
        <v>0.48</v>
      </c>
      <c r="CP25">
        <v>0.49</v>
      </c>
      <c r="CQ25">
        <v>0.48</v>
      </c>
      <c r="CR25">
        <v>0.52</v>
      </c>
      <c r="CS25">
        <v>0.51</v>
      </c>
      <c r="CT25">
        <v>0.5</v>
      </c>
      <c r="CU25">
        <v>0.5</v>
      </c>
      <c r="CV25">
        <v>0.5</v>
      </c>
      <c r="CW25" s="4">
        <f t="shared" si="2"/>
        <v>0.48217391304347818</v>
      </c>
      <c r="CX25" s="4">
        <f t="shared" si="10"/>
        <v>1.5654369630794772E-2</v>
      </c>
      <c r="CY25" s="4">
        <f t="shared" si="11"/>
        <v>23</v>
      </c>
      <c r="CZ25" s="4">
        <f t="shared" si="12"/>
        <v>3.264161710998038E-3</v>
      </c>
      <c r="DA25">
        <v>0.38</v>
      </c>
      <c r="DB25">
        <v>0.4</v>
      </c>
      <c r="DC25">
        <v>0.47</v>
      </c>
      <c r="DD25">
        <v>0.49</v>
      </c>
      <c r="DE25">
        <v>0.48</v>
      </c>
      <c r="DF25">
        <v>0.48</v>
      </c>
      <c r="DG25">
        <v>0.47</v>
      </c>
      <c r="DH25">
        <v>0.47</v>
      </c>
      <c r="DI25">
        <v>0.48</v>
      </c>
      <c r="DJ25">
        <v>0.48</v>
      </c>
      <c r="DK25">
        <v>0.42</v>
      </c>
      <c r="DL25">
        <v>0.43</v>
      </c>
      <c r="DM25">
        <v>0.43</v>
      </c>
      <c r="DN25">
        <v>0.47</v>
      </c>
      <c r="DO25">
        <v>0.47</v>
      </c>
      <c r="DP25">
        <v>0.46</v>
      </c>
      <c r="DQ25">
        <v>0.47</v>
      </c>
      <c r="DR25">
        <v>0.46</v>
      </c>
      <c r="DS25">
        <v>0.5</v>
      </c>
      <c r="DT25">
        <v>0.49</v>
      </c>
      <c r="DU25">
        <v>0.48</v>
      </c>
      <c r="DV25">
        <v>0.51</v>
      </c>
      <c r="DW25" s="4">
        <f t="shared" si="3"/>
        <v>0.46318181818181814</v>
      </c>
      <c r="DX25" s="4">
        <f t="shared" si="13"/>
        <v>3.2128664495292704E-2</v>
      </c>
      <c r="DY25" s="4">
        <f t="shared" si="14"/>
        <v>22</v>
      </c>
      <c r="DZ25" s="4">
        <f t="shared" si="15"/>
        <v>6.8498542859454711E-3</v>
      </c>
    </row>
    <row r="26" spans="1:130" x14ac:dyDescent="0.25">
      <c r="A26" s="1" t="s">
        <v>143</v>
      </c>
      <c r="B26">
        <v>60</v>
      </c>
      <c r="C26">
        <v>58</v>
      </c>
      <c r="D26">
        <v>60</v>
      </c>
      <c r="E26">
        <v>60</v>
      </c>
      <c r="F26">
        <v>63</v>
      </c>
      <c r="G26">
        <v>65</v>
      </c>
      <c r="H26">
        <v>58</v>
      </c>
      <c r="I26">
        <v>60</v>
      </c>
      <c r="J26">
        <v>58</v>
      </c>
      <c r="K26">
        <v>65</v>
      </c>
      <c r="L26">
        <v>65</v>
      </c>
      <c r="M26">
        <v>65</v>
      </c>
      <c r="N26">
        <v>60</v>
      </c>
      <c r="O26">
        <v>63</v>
      </c>
      <c r="P26">
        <v>68</v>
      </c>
      <c r="Q26">
        <v>65</v>
      </c>
      <c r="R26">
        <v>65</v>
      </c>
      <c r="S26">
        <v>65</v>
      </c>
      <c r="T26">
        <v>62</v>
      </c>
      <c r="U26">
        <v>58</v>
      </c>
      <c r="V26">
        <v>60</v>
      </c>
      <c r="W26">
        <v>67</v>
      </c>
      <c r="X26">
        <v>65</v>
      </c>
      <c r="Y26">
        <v>65</v>
      </c>
      <c r="Z26" s="4">
        <f>AVERAGE(B26:Y26)</f>
        <v>62.5</v>
      </c>
      <c r="AA26" s="4">
        <f>_xlfn.STDEV.S(B26:Y26)</f>
        <v>3.1346589856827709</v>
      </c>
      <c r="AB26" s="4">
        <f t="shared" si="17"/>
        <v>24</v>
      </c>
      <c r="AC26" s="4">
        <f t="shared" si="4"/>
        <v>0.63985958604608906</v>
      </c>
      <c r="AD26">
        <v>60</v>
      </c>
      <c r="AE26">
        <v>58</v>
      </c>
      <c r="AF26">
        <v>58</v>
      </c>
      <c r="AG26">
        <v>55</v>
      </c>
      <c r="AH26">
        <v>58</v>
      </c>
      <c r="AI26">
        <v>55</v>
      </c>
      <c r="AJ26">
        <v>55</v>
      </c>
      <c r="AK26">
        <v>58</v>
      </c>
      <c r="AL26">
        <v>58</v>
      </c>
      <c r="AM26">
        <v>58</v>
      </c>
      <c r="AN26">
        <v>60</v>
      </c>
      <c r="AO26">
        <v>60</v>
      </c>
      <c r="AP26">
        <v>56</v>
      </c>
      <c r="AQ26">
        <v>62</v>
      </c>
      <c r="AR26">
        <v>56</v>
      </c>
      <c r="AS26">
        <v>53</v>
      </c>
      <c r="AT26">
        <v>53</v>
      </c>
      <c r="AU26">
        <v>58</v>
      </c>
      <c r="AV26">
        <v>56</v>
      </c>
      <c r="AW26" s="4">
        <f t="shared" si="0"/>
        <v>57.210526315789473</v>
      </c>
      <c r="AX26" s="4">
        <f t="shared" si="5"/>
        <v>2.4170447375168491</v>
      </c>
      <c r="AY26" s="4">
        <f t="shared" si="6"/>
        <v>19</v>
      </c>
      <c r="AZ26" s="4">
        <f t="shared" si="7"/>
        <v>0.5545080922554072</v>
      </c>
      <c r="BA26">
        <v>60</v>
      </c>
      <c r="BB26">
        <v>56</v>
      </c>
      <c r="BC26">
        <v>60</v>
      </c>
      <c r="BD26">
        <v>56</v>
      </c>
      <c r="BE26">
        <v>62</v>
      </c>
      <c r="BF26">
        <v>64</v>
      </c>
      <c r="BG26">
        <v>60</v>
      </c>
      <c r="BH26">
        <v>62</v>
      </c>
      <c r="BI26">
        <v>62</v>
      </c>
      <c r="BJ26">
        <v>62</v>
      </c>
      <c r="BK26">
        <v>62</v>
      </c>
      <c r="BL26">
        <v>60</v>
      </c>
      <c r="BM26">
        <v>60</v>
      </c>
      <c r="BN26">
        <v>58</v>
      </c>
      <c r="BO26">
        <v>64</v>
      </c>
      <c r="BP26">
        <v>62</v>
      </c>
      <c r="BQ26">
        <v>57</v>
      </c>
      <c r="BR26">
        <v>55</v>
      </c>
      <c r="BS26">
        <v>55</v>
      </c>
      <c r="BT26">
        <v>58</v>
      </c>
      <c r="BU26">
        <v>55</v>
      </c>
      <c r="BV26" s="4">
        <f t="shared" si="1"/>
        <v>59.523809523809526</v>
      </c>
      <c r="BW26" s="4">
        <f t="shared" si="16"/>
        <v>2.9600514796038198</v>
      </c>
      <c r="BX26" s="4">
        <f t="shared" si="8"/>
        <v>21</v>
      </c>
      <c r="BY26" s="4">
        <f t="shared" si="9"/>
        <v>0.64593618886907322</v>
      </c>
      <c r="BZ26">
        <v>62</v>
      </c>
      <c r="CA26">
        <v>62</v>
      </c>
      <c r="CB26">
        <v>60</v>
      </c>
      <c r="CC26">
        <v>58</v>
      </c>
      <c r="CD26">
        <v>56</v>
      </c>
      <c r="CE26">
        <v>51</v>
      </c>
      <c r="CF26">
        <v>57</v>
      </c>
      <c r="CG26">
        <v>58</v>
      </c>
      <c r="CH26">
        <v>60</v>
      </c>
      <c r="CI26">
        <v>62</v>
      </c>
      <c r="CJ26">
        <v>55</v>
      </c>
      <c r="CK26">
        <v>60</v>
      </c>
      <c r="CL26">
        <v>52</v>
      </c>
      <c r="CM26">
        <v>52</v>
      </c>
      <c r="CN26">
        <v>51</v>
      </c>
      <c r="CO26">
        <v>57</v>
      </c>
      <c r="CP26">
        <v>55</v>
      </c>
      <c r="CQ26">
        <v>55</v>
      </c>
      <c r="CR26">
        <v>60</v>
      </c>
      <c r="CS26">
        <v>60</v>
      </c>
      <c r="CT26">
        <v>60</v>
      </c>
      <c r="CU26">
        <v>58</v>
      </c>
      <c r="CV26">
        <v>56</v>
      </c>
      <c r="CW26" s="4">
        <f t="shared" si="2"/>
        <v>57.260869565217391</v>
      </c>
      <c r="CX26" s="4">
        <f t="shared" si="10"/>
        <v>3.4800390711540721</v>
      </c>
      <c r="CY26" s="4">
        <f t="shared" si="11"/>
        <v>23</v>
      </c>
      <c r="CZ26" s="4">
        <f t="shared" si="12"/>
        <v>0.72563830781741812</v>
      </c>
      <c r="DA26">
        <v>49</v>
      </c>
      <c r="DB26">
        <v>54</v>
      </c>
      <c r="DC26">
        <v>55</v>
      </c>
      <c r="DD26">
        <v>56</v>
      </c>
      <c r="DE26">
        <v>55</v>
      </c>
      <c r="DF26">
        <v>57</v>
      </c>
      <c r="DG26">
        <v>54</v>
      </c>
      <c r="DH26">
        <v>55</v>
      </c>
      <c r="DI26">
        <v>55</v>
      </c>
      <c r="DJ26">
        <v>57</v>
      </c>
      <c r="DK26">
        <v>66</v>
      </c>
      <c r="DL26">
        <v>54</v>
      </c>
      <c r="DM26">
        <v>54</v>
      </c>
      <c r="DN26">
        <v>57</v>
      </c>
      <c r="DO26">
        <v>54</v>
      </c>
      <c r="DP26">
        <v>50</v>
      </c>
      <c r="DQ26">
        <v>52</v>
      </c>
      <c r="DR26">
        <v>53</v>
      </c>
      <c r="DS26">
        <v>51</v>
      </c>
      <c r="DT26">
        <v>65</v>
      </c>
      <c r="DU26">
        <v>54</v>
      </c>
      <c r="DV26">
        <v>52</v>
      </c>
      <c r="DW26" s="4">
        <f t="shared" si="3"/>
        <v>54.954545454545453</v>
      </c>
      <c r="DX26" s="4">
        <f t="shared" si="13"/>
        <v>4.0175480881618135</v>
      </c>
      <c r="DY26" s="4">
        <f t="shared" si="14"/>
        <v>22</v>
      </c>
      <c r="DZ26" s="4">
        <f t="shared" si="15"/>
        <v>0.85654413038921173</v>
      </c>
    </row>
    <row r="27" spans="1:130" x14ac:dyDescent="0.25">
      <c r="A27" s="1" t="s">
        <v>144</v>
      </c>
      <c r="B27">
        <v>0.12</v>
      </c>
      <c r="C27">
        <v>0.13</v>
      </c>
      <c r="D27">
        <v>0.12</v>
      </c>
      <c r="E27">
        <v>0.12</v>
      </c>
      <c r="F27">
        <v>0.12</v>
      </c>
      <c r="G27">
        <v>0.12</v>
      </c>
      <c r="H27">
        <v>0.12</v>
      </c>
      <c r="I27">
        <v>0.11</v>
      </c>
      <c r="J27">
        <v>0.13</v>
      </c>
      <c r="K27">
        <v>0.12</v>
      </c>
      <c r="L27">
        <v>0.12</v>
      </c>
      <c r="M27">
        <v>0.12</v>
      </c>
      <c r="N27">
        <v>0.11</v>
      </c>
      <c r="O27">
        <v>0.11</v>
      </c>
      <c r="P27">
        <v>0.12</v>
      </c>
      <c r="Q27">
        <v>0.12</v>
      </c>
      <c r="R27">
        <v>0.11</v>
      </c>
      <c r="S27">
        <v>0.12</v>
      </c>
      <c r="T27">
        <v>0.12</v>
      </c>
      <c r="U27">
        <v>0.13</v>
      </c>
      <c r="V27">
        <v>0.12</v>
      </c>
      <c r="W27">
        <v>0.13</v>
      </c>
      <c r="X27">
        <v>0.13</v>
      </c>
      <c r="Y27">
        <v>0.11</v>
      </c>
      <c r="Z27" s="4">
        <f>AVERAGE(B27:Y27)</f>
        <v>0.12000000000000001</v>
      </c>
      <c r="AA27" s="4">
        <f>_xlfn.STDEV.S(B27:Y27)</f>
        <v>6.593804733957871E-3</v>
      </c>
      <c r="AB27" s="4">
        <f t="shared" si="17"/>
        <v>24</v>
      </c>
      <c r="AC27" s="4">
        <f t="shared" si="4"/>
        <v>1.345954755145414E-3</v>
      </c>
      <c r="AD27">
        <v>0.13</v>
      </c>
      <c r="AE27">
        <v>0.13</v>
      </c>
      <c r="AF27">
        <v>0.13</v>
      </c>
      <c r="AG27">
        <v>0.15</v>
      </c>
      <c r="AH27">
        <v>0.14000000000000001</v>
      </c>
      <c r="AI27">
        <v>0.17</v>
      </c>
      <c r="AJ27">
        <v>0.16</v>
      </c>
      <c r="AK27">
        <v>0.13</v>
      </c>
      <c r="AL27">
        <v>0.15</v>
      </c>
      <c r="AM27">
        <v>0.14000000000000001</v>
      </c>
      <c r="AN27">
        <v>0.13</v>
      </c>
      <c r="AO27">
        <v>0.14000000000000001</v>
      </c>
      <c r="AP27">
        <v>0.15</v>
      </c>
      <c r="AQ27">
        <v>0.12</v>
      </c>
      <c r="AR27">
        <v>0.15</v>
      </c>
      <c r="AS27">
        <v>0.13</v>
      </c>
      <c r="AT27">
        <v>0.13</v>
      </c>
      <c r="AU27">
        <v>0.12</v>
      </c>
      <c r="AV27">
        <v>0.13</v>
      </c>
      <c r="AW27" s="4">
        <f t="shared" si="0"/>
        <v>0.13842105263157894</v>
      </c>
      <c r="AX27" s="4">
        <f t="shared" si="5"/>
        <v>1.3442535266309136E-2</v>
      </c>
      <c r="AY27" s="4">
        <f t="shared" si="6"/>
        <v>19</v>
      </c>
      <c r="AZ27" s="4">
        <f t="shared" si="7"/>
        <v>3.0839290932012176E-3</v>
      </c>
      <c r="BA27">
        <v>0.14000000000000001</v>
      </c>
      <c r="BB27">
        <v>0.15</v>
      </c>
      <c r="BC27">
        <v>0.12</v>
      </c>
      <c r="BD27">
        <v>0.15</v>
      </c>
      <c r="BE27">
        <v>0.13</v>
      </c>
      <c r="BF27">
        <v>0.14000000000000001</v>
      </c>
      <c r="BG27">
        <v>0.13</v>
      </c>
      <c r="BH27">
        <v>0.14000000000000001</v>
      </c>
      <c r="BI27">
        <v>0.16</v>
      </c>
      <c r="BJ27">
        <v>0.15</v>
      </c>
      <c r="BK27">
        <v>0.12</v>
      </c>
      <c r="BL27">
        <v>0.12</v>
      </c>
      <c r="BM27">
        <v>0.12</v>
      </c>
      <c r="BN27">
        <v>0.12</v>
      </c>
      <c r="BO27">
        <v>0.13</v>
      </c>
      <c r="BP27">
        <v>0.12</v>
      </c>
      <c r="BQ27">
        <v>0.16</v>
      </c>
      <c r="BR27">
        <v>0.16</v>
      </c>
      <c r="BS27">
        <v>0.16</v>
      </c>
      <c r="BT27">
        <v>0.16</v>
      </c>
      <c r="BU27">
        <v>0.17</v>
      </c>
      <c r="BV27" s="4">
        <f t="shared" si="1"/>
        <v>0.1404761904761905</v>
      </c>
      <c r="BW27" s="4">
        <f t="shared" si="16"/>
        <v>1.7168631417847423E-2</v>
      </c>
      <c r="BX27" s="4">
        <f t="shared" si="8"/>
        <v>21</v>
      </c>
      <c r="BY27" s="4">
        <f t="shared" si="9"/>
        <v>3.7465025262420396E-3</v>
      </c>
      <c r="BZ27">
        <v>0.13</v>
      </c>
      <c r="CA27">
        <v>0.14000000000000001</v>
      </c>
      <c r="CB27">
        <v>0.12</v>
      </c>
      <c r="CC27">
        <v>0.16</v>
      </c>
      <c r="CD27">
        <v>0.14000000000000001</v>
      </c>
      <c r="CE27">
        <v>0.15</v>
      </c>
      <c r="CF27">
        <v>0.17</v>
      </c>
      <c r="CG27">
        <v>0.16</v>
      </c>
      <c r="CH27">
        <v>0.15</v>
      </c>
      <c r="CI27">
        <v>0.13</v>
      </c>
      <c r="CJ27">
        <v>0.16</v>
      </c>
      <c r="CK27">
        <v>0.13</v>
      </c>
      <c r="CL27">
        <v>0.17</v>
      </c>
      <c r="CM27">
        <v>0.14000000000000001</v>
      </c>
      <c r="CN27">
        <v>0.17</v>
      </c>
      <c r="CO27">
        <v>0.16</v>
      </c>
      <c r="CP27">
        <v>0.16</v>
      </c>
      <c r="CQ27">
        <v>0.16</v>
      </c>
      <c r="CR27">
        <v>0.14000000000000001</v>
      </c>
      <c r="CS27">
        <v>0.12</v>
      </c>
      <c r="CT27">
        <v>0.15</v>
      </c>
      <c r="CU27">
        <v>0.15</v>
      </c>
      <c r="CV27">
        <v>0.16</v>
      </c>
      <c r="CW27" s="4">
        <f t="shared" si="2"/>
        <v>0.14869565217391306</v>
      </c>
      <c r="CX27" s="4">
        <f t="shared" si="10"/>
        <v>1.5463842820677221E-2</v>
      </c>
      <c r="CY27" s="4">
        <f t="shared" si="11"/>
        <v>23</v>
      </c>
      <c r="CZ27" s="4">
        <f t="shared" si="12"/>
        <v>3.2244341248242134E-3</v>
      </c>
      <c r="DA27">
        <v>0.15</v>
      </c>
      <c r="DB27">
        <v>0.18</v>
      </c>
      <c r="DC27">
        <v>0.16</v>
      </c>
      <c r="DD27">
        <v>0.14000000000000001</v>
      </c>
      <c r="DE27">
        <v>0.17</v>
      </c>
      <c r="DF27">
        <v>0.16</v>
      </c>
      <c r="DG27">
        <v>0.13</v>
      </c>
      <c r="DH27">
        <v>0.17</v>
      </c>
      <c r="DI27">
        <v>0.17</v>
      </c>
      <c r="DJ27">
        <v>0.17</v>
      </c>
      <c r="DK27">
        <v>0.14000000000000001</v>
      </c>
      <c r="DL27">
        <v>0.18</v>
      </c>
      <c r="DM27">
        <v>0.18</v>
      </c>
      <c r="DN27">
        <v>0.18</v>
      </c>
      <c r="DO27">
        <v>0.18</v>
      </c>
      <c r="DP27">
        <v>0.17</v>
      </c>
      <c r="DQ27">
        <v>0.2</v>
      </c>
      <c r="DR27">
        <v>0.19</v>
      </c>
      <c r="DS27">
        <v>0.18</v>
      </c>
      <c r="DT27">
        <v>0.12</v>
      </c>
      <c r="DU27">
        <v>0.18</v>
      </c>
      <c r="DV27">
        <v>0.21</v>
      </c>
      <c r="DW27" s="4">
        <f t="shared" si="3"/>
        <v>0.16863636363636367</v>
      </c>
      <c r="DX27" s="4">
        <f t="shared" si="13"/>
        <v>2.1886167526643876E-2</v>
      </c>
      <c r="DY27" s="4">
        <f t="shared" si="14"/>
        <v>22</v>
      </c>
      <c r="DZ27" s="4">
        <f t="shared" si="15"/>
        <v>4.6661465949593729E-3</v>
      </c>
    </row>
    <row r="28" spans="1:130" x14ac:dyDescent="0.25">
      <c r="A28" s="1" t="s">
        <v>145</v>
      </c>
      <c r="B28">
        <v>0.6</v>
      </c>
      <c r="C28">
        <v>0.59</v>
      </c>
      <c r="D28">
        <v>0.57999999999999996</v>
      </c>
      <c r="E28">
        <v>0.6</v>
      </c>
      <c r="F28">
        <v>0.61</v>
      </c>
      <c r="G28">
        <v>0.62</v>
      </c>
      <c r="H28">
        <v>0.6</v>
      </c>
      <c r="I28">
        <v>0.6</v>
      </c>
      <c r="J28">
        <v>0.6</v>
      </c>
      <c r="K28">
        <v>0.59</v>
      </c>
      <c r="L28">
        <v>0.59</v>
      </c>
      <c r="M28">
        <v>0.59</v>
      </c>
      <c r="N28">
        <v>0.6</v>
      </c>
      <c r="O28">
        <v>0.6</v>
      </c>
      <c r="P28">
        <v>0.6</v>
      </c>
      <c r="Q28">
        <v>0.59</v>
      </c>
      <c r="R28">
        <v>0.59</v>
      </c>
      <c r="S28">
        <v>0.6</v>
      </c>
      <c r="T28">
        <v>0.57999999999999996</v>
      </c>
      <c r="U28">
        <v>0.57999999999999996</v>
      </c>
      <c r="V28">
        <v>0.59</v>
      </c>
      <c r="W28">
        <v>0.57999999999999996</v>
      </c>
      <c r="X28">
        <v>0.59</v>
      </c>
      <c r="Y28">
        <v>0.6</v>
      </c>
      <c r="Z28" s="4">
        <f>AVERAGE(B28:Y28)</f>
        <v>0.59458333333333324</v>
      </c>
      <c r="AA28" s="4">
        <f>_xlfn.STDEV.S(B28:Y28)</f>
        <v>9.7709270027338656E-3</v>
      </c>
      <c r="AB28" s="4">
        <f t="shared" si="17"/>
        <v>24</v>
      </c>
      <c r="AC28" s="4">
        <f t="shared" si="4"/>
        <v>1.994482122556649E-3</v>
      </c>
      <c r="AD28">
        <v>0.57999999999999996</v>
      </c>
      <c r="AE28">
        <v>0.56999999999999995</v>
      </c>
      <c r="AF28">
        <v>0.56999999999999995</v>
      </c>
      <c r="AG28">
        <v>0.56999999999999995</v>
      </c>
      <c r="AH28">
        <v>0.57999999999999996</v>
      </c>
      <c r="AI28">
        <v>0.57999999999999996</v>
      </c>
      <c r="AJ28">
        <v>0.59</v>
      </c>
      <c r="AK28">
        <v>0.6</v>
      </c>
      <c r="AL28">
        <v>0.57999999999999996</v>
      </c>
      <c r="AM28">
        <v>0.59</v>
      </c>
      <c r="AN28">
        <v>0.57999999999999996</v>
      </c>
      <c r="AO28">
        <v>0.57999999999999996</v>
      </c>
      <c r="AP28">
        <v>0.56999999999999995</v>
      </c>
      <c r="AQ28">
        <v>0.59</v>
      </c>
      <c r="AR28">
        <v>0.56999999999999995</v>
      </c>
      <c r="AS28">
        <v>0.6</v>
      </c>
      <c r="AT28">
        <v>0.6</v>
      </c>
      <c r="AU28">
        <v>0.6</v>
      </c>
      <c r="AV28">
        <v>0.59</v>
      </c>
      <c r="AW28" s="4">
        <f t="shared" si="0"/>
        <v>0.58368421052631581</v>
      </c>
      <c r="AX28" s="4">
        <f t="shared" si="5"/>
        <v>1.1160708020048376E-2</v>
      </c>
      <c r="AY28" s="4">
        <f t="shared" si="6"/>
        <v>19</v>
      </c>
      <c r="AZ28" s="4">
        <f t="shared" si="7"/>
        <v>2.5604420209344625E-3</v>
      </c>
      <c r="BA28">
        <v>0.59</v>
      </c>
      <c r="BB28">
        <v>0.59</v>
      </c>
      <c r="BC28">
        <v>0.61</v>
      </c>
      <c r="BD28">
        <v>0.57999999999999996</v>
      </c>
      <c r="BE28">
        <v>0.59</v>
      </c>
      <c r="BF28">
        <v>0.59</v>
      </c>
      <c r="BG28">
        <v>0.59</v>
      </c>
      <c r="BH28">
        <v>0.57999999999999996</v>
      </c>
      <c r="BI28">
        <v>0.59</v>
      </c>
      <c r="BJ28">
        <v>0.6</v>
      </c>
      <c r="BK28">
        <v>0.59</v>
      </c>
      <c r="BL28">
        <v>0.57999999999999996</v>
      </c>
      <c r="BM28">
        <v>0.59</v>
      </c>
      <c r="BN28">
        <v>0.57999999999999996</v>
      </c>
      <c r="BO28">
        <v>0.59</v>
      </c>
      <c r="BP28">
        <v>0.59</v>
      </c>
      <c r="BQ28">
        <v>0.56999999999999995</v>
      </c>
      <c r="BR28">
        <v>0.56999999999999995</v>
      </c>
      <c r="BS28">
        <v>0.56999999999999995</v>
      </c>
      <c r="BT28">
        <v>0.56999999999999995</v>
      </c>
      <c r="BU28">
        <v>0.56999999999999995</v>
      </c>
      <c r="BV28" s="4">
        <f t="shared" si="1"/>
        <v>0.58476190476190471</v>
      </c>
      <c r="BW28" s="4">
        <f t="shared" si="16"/>
        <v>1.077916862241594E-2</v>
      </c>
      <c r="BX28" s="4">
        <f t="shared" si="8"/>
        <v>21</v>
      </c>
      <c r="BY28" s="4">
        <f t="shared" si="9"/>
        <v>2.3522074352816148E-3</v>
      </c>
      <c r="BZ28">
        <v>0.56999999999999995</v>
      </c>
      <c r="CA28">
        <v>0.56000000000000005</v>
      </c>
      <c r="CB28">
        <v>0.57999999999999996</v>
      </c>
      <c r="CC28">
        <v>0.56000000000000005</v>
      </c>
      <c r="CD28">
        <v>0.56000000000000005</v>
      </c>
      <c r="CE28">
        <v>0.55000000000000004</v>
      </c>
      <c r="CF28">
        <v>0.56000000000000005</v>
      </c>
      <c r="CG28">
        <v>0.57999999999999996</v>
      </c>
      <c r="CH28">
        <v>0.56999999999999995</v>
      </c>
      <c r="CI28">
        <v>0.57999999999999996</v>
      </c>
      <c r="CJ28">
        <v>0.56000000000000005</v>
      </c>
      <c r="CK28">
        <v>0.56999999999999995</v>
      </c>
      <c r="CL28">
        <v>0.55000000000000004</v>
      </c>
      <c r="CM28">
        <v>0.56000000000000005</v>
      </c>
      <c r="CN28">
        <v>0.55000000000000004</v>
      </c>
      <c r="CO28">
        <v>0.56999999999999995</v>
      </c>
      <c r="CP28">
        <v>0.56999999999999995</v>
      </c>
      <c r="CQ28">
        <v>0.57999999999999996</v>
      </c>
      <c r="CR28">
        <v>0.61</v>
      </c>
      <c r="CS28">
        <v>0.62</v>
      </c>
      <c r="CT28">
        <v>0.6</v>
      </c>
      <c r="CU28">
        <v>0.61</v>
      </c>
      <c r="CV28">
        <v>0.6</v>
      </c>
      <c r="CW28" s="4">
        <f t="shared" si="2"/>
        <v>0.57478260869565212</v>
      </c>
      <c r="CX28" s="4">
        <f t="shared" si="10"/>
        <v>2.0420481077360275E-2</v>
      </c>
      <c r="CY28" s="4">
        <f t="shared" si="11"/>
        <v>23</v>
      </c>
      <c r="CZ28" s="4">
        <f t="shared" si="12"/>
        <v>4.257964646609361E-3</v>
      </c>
      <c r="DA28">
        <v>0.56999999999999995</v>
      </c>
      <c r="DB28">
        <v>0.56000000000000005</v>
      </c>
      <c r="DC28">
        <v>0.56000000000000005</v>
      </c>
      <c r="DD28">
        <v>0.57999999999999996</v>
      </c>
      <c r="DE28">
        <v>0.55000000000000004</v>
      </c>
      <c r="DF28">
        <v>0.56000000000000005</v>
      </c>
      <c r="DG28">
        <v>0.56999999999999995</v>
      </c>
      <c r="DH28">
        <v>0.56000000000000005</v>
      </c>
      <c r="DI28">
        <v>0.56000000000000005</v>
      </c>
      <c r="DJ28">
        <v>0.56000000000000005</v>
      </c>
      <c r="DK28">
        <v>0.6</v>
      </c>
      <c r="DL28">
        <v>0.56999999999999995</v>
      </c>
      <c r="DM28">
        <v>0.56999999999999995</v>
      </c>
      <c r="DN28">
        <v>0.54</v>
      </c>
      <c r="DO28">
        <v>0.54</v>
      </c>
      <c r="DP28">
        <v>0.56999999999999995</v>
      </c>
      <c r="DQ28">
        <v>0.55000000000000004</v>
      </c>
      <c r="DR28">
        <v>0.56000000000000005</v>
      </c>
      <c r="DS28">
        <v>0.57999999999999996</v>
      </c>
      <c r="DT28">
        <v>0.61</v>
      </c>
      <c r="DU28">
        <v>0.57999999999999996</v>
      </c>
      <c r="DV28">
        <v>0.57999999999999996</v>
      </c>
      <c r="DW28" s="4">
        <f t="shared" si="3"/>
        <v>0.56727272727272737</v>
      </c>
      <c r="DX28" s="4">
        <f t="shared" si="13"/>
        <v>1.6954229190555566E-2</v>
      </c>
      <c r="DY28" s="4">
        <f t="shared" si="14"/>
        <v>22</v>
      </c>
      <c r="DZ28" s="4">
        <f t="shared" si="15"/>
        <v>3.6146538086836476E-3</v>
      </c>
    </row>
    <row r="29" spans="1:130" x14ac:dyDescent="0.25">
      <c r="A29" s="1" t="s">
        <v>146</v>
      </c>
      <c r="B29">
        <v>58</v>
      </c>
      <c r="C29">
        <v>60</v>
      </c>
      <c r="D29">
        <v>60</v>
      </c>
      <c r="E29">
        <v>58</v>
      </c>
      <c r="F29">
        <v>60</v>
      </c>
      <c r="G29">
        <v>60</v>
      </c>
      <c r="H29">
        <v>60</v>
      </c>
      <c r="I29">
        <v>60</v>
      </c>
      <c r="J29">
        <v>60</v>
      </c>
      <c r="K29">
        <v>65</v>
      </c>
      <c r="L29">
        <v>65</v>
      </c>
      <c r="M29">
        <v>67</v>
      </c>
      <c r="N29">
        <v>65</v>
      </c>
      <c r="O29">
        <v>67</v>
      </c>
      <c r="P29">
        <v>65</v>
      </c>
      <c r="Q29">
        <v>65</v>
      </c>
      <c r="R29">
        <v>65</v>
      </c>
      <c r="S29">
        <v>65</v>
      </c>
      <c r="T29">
        <v>60</v>
      </c>
      <c r="U29">
        <v>58</v>
      </c>
      <c r="V29">
        <v>60</v>
      </c>
      <c r="W29">
        <v>66</v>
      </c>
      <c r="X29">
        <v>66</v>
      </c>
      <c r="Y29">
        <v>62</v>
      </c>
      <c r="Z29" s="4">
        <f>AVERAGE(B29:Y29)</f>
        <v>62.375</v>
      </c>
      <c r="AA29" s="4">
        <f>_xlfn.STDEV.S(B29:Y29)</f>
        <v>3.1320572486299882</v>
      </c>
      <c r="AB29" s="4">
        <f t="shared" si="17"/>
        <v>24</v>
      </c>
      <c r="AC29" s="4">
        <f t="shared" si="4"/>
        <v>0.63932850869407154</v>
      </c>
      <c r="AD29">
        <v>58</v>
      </c>
      <c r="AE29">
        <v>55</v>
      </c>
      <c r="AF29">
        <v>56</v>
      </c>
      <c r="AG29">
        <v>55</v>
      </c>
      <c r="AH29">
        <v>57</v>
      </c>
      <c r="AI29">
        <v>57</v>
      </c>
      <c r="AJ29">
        <v>55</v>
      </c>
      <c r="AK29">
        <v>57</v>
      </c>
      <c r="AL29">
        <v>57</v>
      </c>
      <c r="AM29">
        <v>54</v>
      </c>
      <c r="AN29">
        <v>54</v>
      </c>
      <c r="AO29">
        <v>58</v>
      </c>
      <c r="AP29">
        <v>53</v>
      </c>
      <c r="AQ29">
        <v>54</v>
      </c>
      <c r="AR29">
        <v>57</v>
      </c>
      <c r="AS29">
        <v>56</v>
      </c>
      <c r="AT29">
        <v>53</v>
      </c>
      <c r="AU29">
        <v>56</v>
      </c>
      <c r="AV29">
        <v>52</v>
      </c>
      <c r="AW29" s="4">
        <f t="shared" si="0"/>
        <v>55.473684210526315</v>
      </c>
      <c r="AX29" s="4">
        <f t="shared" si="5"/>
        <v>1.7754004572562581</v>
      </c>
      <c r="AY29" s="4">
        <f t="shared" si="6"/>
        <v>19</v>
      </c>
      <c r="AZ29" s="4">
        <f t="shared" si="7"/>
        <v>0.40730479881557535</v>
      </c>
      <c r="BA29">
        <v>57</v>
      </c>
      <c r="BB29">
        <v>55</v>
      </c>
      <c r="BC29">
        <v>57</v>
      </c>
      <c r="BD29">
        <v>55</v>
      </c>
      <c r="BE29">
        <v>55</v>
      </c>
      <c r="BF29">
        <v>55</v>
      </c>
      <c r="BG29">
        <v>57</v>
      </c>
      <c r="BH29">
        <v>55</v>
      </c>
      <c r="BI29">
        <v>57</v>
      </c>
      <c r="BJ29">
        <v>56</v>
      </c>
      <c r="BK29">
        <v>57</v>
      </c>
      <c r="BL29">
        <v>57</v>
      </c>
      <c r="BM29">
        <v>57</v>
      </c>
      <c r="BN29">
        <v>57</v>
      </c>
      <c r="BO29">
        <v>62</v>
      </c>
      <c r="BP29">
        <v>57</v>
      </c>
      <c r="BQ29">
        <v>55</v>
      </c>
      <c r="BR29">
        <v>55</v>
      </c>
      <c r="BS29">
        <v>55</v>
      </c>
      <c r="BT29">
        <v>55</v>
      </c>
      <c r="BU29">
        <v>55</v>
      </c>
      <c r="BV29" s="4">
        <f t="shared" si="1"/>
        <v>56.238095238095241</v>
      </c>
      <c r="BW29" s="4">
        <f t="shared" si="16"/>
        <v>1.6402671094904606</v>
      </c>
      <c r="BX29" s="4">
        <f t="shared" si="8"/>
        <v>21</v>
      </c>
      <c r="BY29" s="4">
        <f t="shared" si="9"/>
        <v>0.35793562805649787</v>
      </c>
      <c r="BZ29">
        <v>57</v>
      </c>
      <c r="CA29">
        <v>57</v>
      </c>
      <c r="CB29">
        <v>57</v>
      </c>
      <c r="CC29">
        <v>53</v>
      </c>
      <c r="CD29">
        <v>53</v>
      </c>
      <c r="CE29">
        <v>53</v>
      </c>
      <c r="CF29">
        <v>56</v>
      </c>
      <c r="CG29">
        <v>54</v>
      </c>
      <c r="CH29">
        <v>56</v>
      </c>
      <c r="CI29">
        <v>56</v>
      </c>
      <c r="CJ29">
        <v>57</v>
      </c>
      <c r="CK29">
        <v>57</v>
      </c>
      <c r="CL29">
        <v>53</v>
      </c>
      <c r="CM29">
        <v>53</v>
      </c>
      <c r="CN29">
        <v>53</v>
      </c>
      <c r="CO29">
        <v>54</v>
      </c>
      <c r="CP29">
        <v>54</v>
      </c>
      <c r="CQ29">
        <v>54</v>
      </c>
      <c r="CR29">
        <v>57</v>
      </c>
      <c r="CS29">
        <v>58</v>
      </c>
      <c r="CT29">
        <v>57</v>
      </c>
      <c r="CU29">
        <v>55</v>
      </c>
      <c r="CV29">
        <v>55</v>
      </c>
      <c r="CW29" s="4">
        <f t="shared" si="2"/>
        <v>55.173913043478258</v>
      </c>
      <c r="CX29" s="4">
        <f t="shared" si="10"/>
        <v>1.749082198625727</v>
      </c>
      <c r="CY29" s="4">
        <f t="shared" si="11"/>
        <v>23</v>
      </c>
      <c r="CZ29" s="4">
        <f t="shared" si="12"/>
        <v>0.36470884978410356</v>
      </c>
      <c r="DA29">
        <v>56</v>
      </c>
      <c r="DB29">
        <v>56</v>
      </c>
      <c r="DC29">
        <v>56</v>
      </c>
      <c r="DD29">
        <v>55</v>
      </c>
      <c r="DE29">
        <v>53</v>
      </c>
      <c r="DF29">
        <v>53</v>
      </c>
      <c r="DG29">
        <v>53</v>
      </c>
      <c r="DH29">
        <v>53</v>
      </c>
      <c r="DI29">
        <v>52</v>
      </c>
      <c r="DJ29">
        <v>51</v>
      </c>
      <c r="DK29">
        <v>56</v>
      </c>
      <c r="DL29">
        <v>52</v>
      </c>
      <c r="DM29">
        <v>56</v>
      </c>
      <c r="DN29">
        <v>53</v>
      </c>
      <c r="DO29">
        <v>54</v>
      </c>
      <c r="DP29">
        <v>52</v>
      </c>
      <c r="DQ29">
        <v>52</v>
      </c>
      <c r="DR29">
        <v>52</v>
      </c>
      <c r="DS29">
        <v>52</v>
      </c>
      <c r="DT29">
        <v>57</v>
      </c>
      <c r="DU29">
        <v>49</v>
      </c>
      <c r="DV29">
        <v>51</v>
      </c>
      <c r="DW29" s="4">
        <f t="shared" si="3"/>
        <v>53.363636363636367</v>
      </c>
      <c r="DX29" s="4">
        <f t="shared" si="13"/>
        <v>2.1054454238712608</v>
      </c>
      <c r="DY29" s="4">
        <f t="shared" si="14"/>
        <v>22</v>
      </c>
      <c r="DZ29" s="4">
        <f t="shared" si="15"/>
        <v>0.44888247261699465</v>
      </c>
    </row>
    <row r="30" spans="1:130" x14ac:dyDescent="0.25">
      <c r="A30" s="1" t="s">
        <v>147</v>
      </c>
      <c r="B30">
        <v>0.13</v>
      </c>
      <c r="C30">
        <v>0.12</v>
      </c>
      <c r="D30">
        <v>0.13</v>
      </c>
      <c r="E30">
        <v>0.13</v>
      </c>
      <c r="F30">
        <v>0.13</v>
      </c>
      <c r="G30">
        <v>0.13</v>
      </c>
      <c r="H30">
        <v>0.12</v>
      </c>
      <c r="I30">
        <v>0.13</v>
      </c>
      <c r="J30">
        <v>0.13</v>
      </c>
      <c r="K30">
        <v>0.11</v>
      </c>
      <c r="L30">
        <v>0.11</v>
      </c>
      <c r="M30">
        <v>0.12</v>
      </c>
      <c r="N30">
        <v>0.11</v>
      </c>
      <c r="O30">
        <v>0.11</v>
      </c>
      <c r="P30">
        <v>0.11</v>
      </c>
      <c r="Q30">
        <v>0.11</v>
      </c>
      <c r="R30">
        <v>0.11</v>
      </c>
      <c r="S30">
        <v>0.12</v>
      </c>
      <c r="T30">
        <v>0.12</v>
      </c>
      <c r="U30">
        <v>0.13</v>
      </c>
      <c r="V30">
        <v>0.11</v>
      </c>
      <c r="W30">
        <v>0.12</v>
      </c>
      <c r="X30">
        <v>0.13</v>
      </c>
      <c r="Y30">
        <v>0.12</v>
      </c>
      <c r="Z30" s="4">
        <f>AVERAGE(B30:Y30)</f>
        <v>0.12041666666666669</v>
      </c>
      <c r="AA30" s="4">
        <f>_xlfn.STDEV.S(B30:Y30)</f>
        <v>8.586727202955214E-3</v>
      </c>
      <c r="AB30" s="4">
        <f t="shared" si="17"/>
        <v>24</v>
      </c>
      <c r="AC30" s="4">
        <f t="shared" si="4"/>
        <v>1.7527583506430073E-3</v>
      </c>
      <c r="AD30">
        <v>0.15</v>
      </c>
      <c r="AE30">
        <v>0.15</v>
      </c>
      <c r="AF30">
        <v>0.14000000000000001</v>
      </c>
      <c r="AG30">
        <v>0.15</v>
      </c>
      <c r="AH30">
        <v>0.15</v>
      </c>
      <c r="AI30">
        <v>0.15</v>
      </c>
      <c r="AJ30">
        <v>0.15</v>
      </c>
      <c r="AK30">
        <v>0.16</v>
      </c>
      <c r="AL30">
        <v>0.15</v>
      </c>
      <c r="AM30">
        <v>0.14000000000000001</v>
      </c>
      <c r="AN30">
        <v>0.13</v>
      </c>
      <c r="AO30">
        <v>0.13</v>
      </c>
      <c r="AP30">
        <v>0.14000000000000001</v>
      </c>
      <c r="AQ30">
        <v>0.13</v>
      </c>
      <c r="AR30">
        <v>0.15</v>
      </c>
      <c r="AS30">
        <v>0.13</v>
      </c>
      <c r="AT30">
        <v>0.15</v>
      </c>
      <c r="AU30">
        <v>0.13</v>
      </c>
      <c r="AV30">
        <v>0.13</v>
      </c>
      <c r="AW30" s="4">
        <f t="shared" si="0"/>
        <v>0.14263157894736836</v>
      </c>
      <c r="AX30" s="4">
        <f t="shared" si="5"/>
        <v>9.911892555667037E-3</v>
      </c>
      <c r="AY30" s="4">
        <f t="shared" si="6"/>
        <v>19</v>
      </c>
      <c r="AZ30" s="4">
        <f t="shared" si="7"/>
        <v>2.2739441047045111E-3</v>
      </c>
      <c r="BA30">
        <v>0.16</v>
      </c>
      <c r="BB30">
        <v>0.16</v>
      </c>
      <c r="BC30">
        <v>0.16</v>
      </c>
      <c r="BD30">
        <v>0.15</v>
      </c>
      <c r="BE30">
        <v>0.15</v>
      </c>
      <c r="BF30">
        <v>0.15</v>
      </c>
      <c r="BG30">
        <v>0.16</v>
      </c>
      <c r="BH30">
        <v>0.16</v>
      </c>
      <c r="BI30">
        <v>0.17</v>
      </c>
      <c r="BJ30">
        <v>0.18</v>
      </c>
      <c r="BK30">
        <v>0.15</v>
      </c>
      <c r="BL30">
        <v>0.15</v>
      </c>
      <c r="BM30">
        <v>0.15</v>
      </c>
      <c r="BN30">
        <v>0.15</v>
      </c>
      <c r="BO30">
        <v>0.14000000000000001</v>
      </c>
      <c r="BP30">
        <v>0.15</v>
      </c>
      <c r="BQ30">
        <v>0.14000000000000001</v>
      </c>
      <c r="BR30">
        <v>0.15</v>
      </c>
      <c r="BS30">
        <v>0.15</v>
      </c>
      <c r="BT30">
        <v>0.16</v>
      </c>
      <c r="BU30">
        <v>0.15</v>
      </c>
      <c r="BV30" s="4">
        <f t="shared" si="1"/>
        <v>0.15428571428571428</v>
      </c>
      <c r="BW30" s="4">
        <f t="shared" si="16"/>
        <v>9.2582009977255145E-3</v>
      </c>
      <c r="BX30" s="4">
        <f t="shared" si="8"/>
        <v>21</v>
      </c>
      <c r="BY30" s="4">
        <f t="shared" si="9"/>
        <v>2.0203050891044213E-3</v>
      </c>
      <c r="BZ30">
        <v>0.16</v>
      </c>
      <c r="CA30">
        <v>0.16</v>
      </c>
      <c r="CB30">
        <v>0.17</v>
      </c>
      <c r="CC30">
        <v>0.17</v>
      </c>
      <c r="CD30">
        <v>0.17</v>
      </c>
      <c r="CE30">
        <v>0.17</v>
      </c>
      <c r="CF30">
        <v>0.17</v>
      </c>
      <c r="CG30">
        <v>0.18</v>
      </c>
      <c r="CH30">
        <v>0.17</v>
      </c>
      <c r="CI30">
        <v>0.17</v>
      </c>
      <c r="CJ30">
        <v>0.17</v>
      </c>
      <c r="CK30">
        <v>0.17</v>
      </c>
      <c r="CL30">
        <v>0.17</v>
      </c>
      <c r="CM30">
        <v>0.17</v>
      </c>
      <c r="CN30">
        <v>0.17</v>
      </c>
      <c r="CO30">
        <v>0.17</v>
      </c>
      <c r="CP30">
        <v>0.18</v>
      </c>
      <c r="CQ30">
        <v>0.18</v>
      </c>
      <c r="CR30">
        <v>0.17</v>
      </c>
      <c r="CS30">
        <v>0.16</v>
      </c>
      <c r="CT30">
        <v>0.16</v>
      </c>
      <c r="CU30">
        <v>0.16</v>
      </c>
      <c r="CV30">
        <v>0.16</v>
      </c>
      <c r="CW30" s="4">
        <f t="shared" si="2"/>
        <v>0.16869565217391305</v>
      </c>
      <c r="CX30" s="4">
        <f t="shared" si="10"/>
        <v>6.2554324217122415E-3</v>
      </c>
      <c r="CY30" s="4">
        <f t="shared" si="11"/>
        <v>23</v>
      </c>
      <c r="CZ30" s="4">
        <f t="shared" si="12"/>
        <v>1.3043478260869564E-3</v>
      </c>
      <c r="DA30">
        <v>0.16</v>
      </c>
      <c r="DB30">
        <v>0.16</v>
      </c>
      <c r="DC30">
        <v>0.16</v>
      </c>
      <c r="DD30">
        <v>0.17</v>
      </c>
      <c r="DE30">
        <v>0.17</v>
      </c>
      <c r="DF30">
        <v>0.17</v>
      </c>
      <c r="DG30">
        <v>0.17</v>
      </c>
      <c r="DH30">
        <v>0.18</v>
      </c>
      <c r="DI30">
        <v>0.18</v>
      </c>
      <c r="DJ30">
        <v>0.18</v>
      </c>
      <c r="DK30">
        <v>0.17</v>
      </c>
      <c r="DL30">
        <v>0.18</v>
      </c>
      <c r="DM30">
        <v>0.17</v>
      </c>
      <c r="DN30">
        <v>0.17</v>
      </c>
      <c r="DO30">
        <v>0.17</v>
      </c>
      <c r="DP30">
        <v>0.18</v>
      </c>
      <c r="DQ30">
        <v>0.18</v>
      </c>
      <c r="DR30">
        <v>0.18</v>
      </c>
      <c r="DS30">
        <v>0.18</v>
      </c>
      <c r="DT30">
        <v>0.16</v>
      </c>
      <c r="DU30">
        <v>0.18</v>
      </c>
      <c r="DV30">
        <v>0.19</v>
      </c>
      <c r="DW30" s="4">
        <f t="shared" si="3"/>
        <v>0.17318181818181821</v>
      </c>
      <c r="DX30" s="4">
        <f t="shared" si="13"/>
        <v>8.387271329003269E-3</v>
      </c>
      <c r="DY30" s="4">
        <f t="shared" si="14"/>
        <v>22</v>
      </c>
      <c r="DZ30" s="4">
        <f t="shared" si="15"/>
        <v>1.7881722556123696E-3</v>
      </c>
    </row>
    <row r="31" spans="1:130" x14ac:dyDescent="0.25">
      <c r="A31" s="1" t="s">
        <v>148</v>
      </c>
      <c r="B31">
        <v>0.56000000000000005</v>
      </c>
      <c r="C31">
        <v>0.55000000000000004</v>
      </c>
      <c r="D31">
        <v>0.55000000000000004</v>
      </c>
      <c r="E31">
        <v>0.56000000000000005</v>
      </c>
      <c r="F31">
        <v>0.57999999999999996</v>
      </c>
      <c r="G31">
        <v>0.57999999999999996</v>
      </c>
      <c r="H31">
        <v>0.56000000000000005</v>
      </c>
      <c r="I31">
        <v>0.56000000000000005</v>
      </c>
      <c r="J31">
        <v>0.56000000000000005</v>
      </c>
      <c r="K31">
        <v>0.56000000000000005</v>
      </c>
      <c r="L31">
        <v>0.55000000000000004</v>
      </c>
      <c r="M31">
        <v>0.56000000000000005</v>
      </c>
      <c r="N31">
        <v>0.56999999999999995</v>
      </c>
      <c r="O31">
        <v>0.56999999999999995</v>
      </c>
      <c r="P31">
        <v>0.56999999999999995</v>
      </c>
      <c r="Q31">
        <v>0.56999999999999995</v>
      </c>
      <c r="R31">
        <v>0.56999999999999995</v>
      </c>
      <c r="S31">
        <v>0.56000000000000005</v>
      </c>
      <c r="T31">
        <v>0.55000000000000004</v>
      </c>
      <c r="U31">
        <v>0.55000000000000004</v>
      </c>
      <c r="V31">
        <v>0.55000000000000004</v>
      </c>
      <c r="W31">
        <v>0.54</v>
      </c>
      <c r="X31">
        <v>0.56000000000000005</v>
      </c>
      <c r="Y31">
        <v>0.56000000000000005</v>
      </c>
      <c r="Z31" s="4">
        <f>AVERAGE(B31:Y31)</f>
        <v>0.5604166666666669</v>
      </c>
      <c r="AA31" s="4">
        <f>_xlfn.STDEV.S(B31:Y31)</f>
        <v>9.990937922923427E-3</v>
      </c>
      <c r="AB31" s="4">
        <f t="shared" si="17"/>
        <v>24</v>
      </c>
      <c r="AC31" s="4">
        <f t="shared" si="4"/>
        <v>2.0393916635820337E-3</v>
      </c>
      <c r="AD31">
        <v>0.53</v>
      </c>
      <c r="AE31">
        <v>0.53</v>
      </c>
      <c r="AF31">
        <v>0.53</v>
      </c>
      <c r="AG31">
        <v>0.53</v>
      </c>
      <c r="AH31">
        <v>0.53</v>
      </c>
      <c r="AI31">
        <v>0.53</v>
      </c>
      <c r="AJ31">
        <v>0.55000000000000004</v>
      </c>
      <c r="AK31">
        <v>0.55000000000000004</v>
      </c>
      <c r="AL31">
        <v>0.55000000000000004</v>
      </c>
      <c r="AM31">
        <v>0.55000000000000004</v>
      </c>
      <c r="AN31">
        <v>0.55000000000000004</v>
      </c>
      <c r="AO31">
        <v>0.55000000000000004</v>
      </c>
      <c r="AP31">
        <v>0.55000000000000004</v>
      </c>
      <c r="AQ31">
        <v>0.54</v>
      </c>
      <c r="AR31">
        <v>0.53</v>
      </c>
      <c r="AS31">
        <v>0.56000000000000005</v>
      </c>
      <c r="AT31">
        <v>0.55000000000000004</v>
      </c>
      <c r="AU31">
        <v>0.56000000000000005</v>
      </c>
      <c r="AV31">
        <v>0.56000000000000005</v>
      </c>
      <c r="AW31" s="4">
        <f t="shared" si="0"/>
        <v>0.54368421052631588</v>
      </c>
      <c r="AX31" s="4">
        <f t="shared" si="5"/>
        <v>1.1647854507156385E-2</v>
      </c>
      <c r="AY31" s="4">
        <f t="shared" si="6"/>
        <v>19</v>
      </c>
      <c r="AZ31" s="4">
        <f t="shared" si="7"/>
        <v>2.6722010897768126E-3</v>
      </c>
      <c r="BA31">
        <v>0.55000000000000004</v>
      </c>
      <c r="BB31">
        <v>0.55000000000000004</v>
      </c>
      <c r="BC31">
        <v>0.56000000000000005</v>
      </c>
      <c r="BD31">
        <v>0.53</v>
      </c>
      <c r="BE31">
        <v>0.53</v>
      </c>
      <c r="BF31">
        <v>0.53</v>
      </c>
      <c r="BG31">
        <v>0.53</v>
      </c>
      <c r="BH31">
        <v>0.53</v>
      </c>
      <c r="BI31">
        <v>0.55000000000000004</v>
      </c>
      <c r="BJ31">
        <v>0.55000000000000004</v>
      </c>
      <c r="BK31">
        <v>0.53</v>
      </c>
      <c r="BL31">
        <v>0.53</v>
      </c>
      <c r="BM31">
        <v>0.53</v>
      </c>
      <c r="BN31">
        <v>0.53</v>
      </c>
      <c r="BO31">
        <v>0.52</v>
      </c>
      <c r="BP31">
        <v>0.53</v>
      </c>
      <c r="BQ31">
        <v>0.54</v>
      </c>
      <c r="BR31">
        <v>0.54</v>
      </c>
      <c r="BS31">
        <v>0.53</v>
      </c>
      <c r="BT31">
        <v>0.54</v>
      </c>
      <c r="BU31">
        <v>0.53</v>
      </c>
      <c r="BV31" s="4">
        <f t="shared" si="1"/>
        <v>0.53619047619047622</v>
      </c>
      <c r="BW31" s="4">
        <f t="shared" si="16"/>
        <v>1.0235326314383189E-2</v>
      </c>
      <c r="BX31" s="4">
        <f t="shared" si="8"/>
        <v>21</v>
      </c>
      <c r="BY31" s="4">
        <f t="shared" si="9"/>
        <v>2.2335313142016352E-3</v>
      </c>
      <c r="BZ31">
        <v>0.5</v>
      </c>
      <c r="CA31">
        <v>0.5</v>
      </c>
      <c r="CB31">
        <v>0.51</v>
      </c>
      <c r="CC31">
        <v>0.51</v>
      </c>
      <c r="CD31">
        <v>0.51</v>
      </c>
      <c r="CE31">
        <v>0.51</v>
      </c>
      <c r="CF31">
        <v>0.53</v>
      </c>
      <c r="CG31">
        <v>0.53</v>
      </c>
      <c r="CH31">
        <v>0.53</v>
      </c>
      <c r="CI31">
        <v>0.51</v>
      </c>
      <c r="CJ31">
        <v>0.51</v>
      </c>
      <c r="CK31">
        <v>0.51</v>
      </c>
      <c r="CL31">
        <v>0.51</v>
      </c>
      <c r="CM31">
        <v>0.51</v>
      </c>
      <c r="CN31">
        <v>0.51</v>
      </c>
      <c r="CO31">
        <v>0.53</v>
      </c>
      <c r="CP31">
        <v>0.52</v>
      </c>
      <c r="CQ31">
        <v>0.52</v>
      </c>
      <c r="CR31">
        <v>0.56000000000000005</v>
      </c>
      <c r="CS31">
        <v>0.56000000000000005</v>
      </c>
      <c r="CT31">
        <v>0.55000000000000004</v>
      </c>
      <c r="CU31">
        <v>0.55000000000000004</v>
      </c>
      <c r="CV31">
        <v>0.55000000000000004</v>
      </c>
      <c r="CW31" s="4">
        <f t="shared" si="2"/>
        <v>0.52304347826086961</v>
      </c>
      <c r="CX31" s="4">
        <f t="shared" si="10"/>
        <v>1.8934044040178413E-2</v>
      </c>
      <c r="CY31" s="4">
        <f t="shared" si="11"/>
        <v>23</v>
      </c>
      <c r="CZ31" s="4">
        <f t="shared" si="12"/>
        <v>3.9480210987686507E-3</v>
      </c>
      <c r="DA31">
        <v>0.52</v>
      </c>
      <c r="DB31">
        <v>0.52</v>
      </c>
      <c r="DC31">
        <v>0.52</v>
      </c>
      <c r="DD31">
        <v>0.54</v>
      </c>
      <c r="DE31">
        <v>0.51</v>
      </c>
      <c r="DF31">
        <v>0.52</v>
      </c>
      <c r="DG31">
        <v>0.51</v>
      </c>
      <c r="DH31">
        <v>0.52</v>
      </c>
      <c r="DI31">
        <v>0.52</v>
      </c>
      <c r="DJ31">
        <v>0.52</v>
      </c>
      <c r="DK31">
        <v>0.53</v>
      </c>
      <c r="DL31">
        <v>0.53</v>
      </c>
      <c r="DM31">
        <v>0.53</v>
      </c>
      <c r="DN31">
        <v>0.51</v>
      </c>
      <c r="DO31">
        <v>0.51</v>
      </c>
      <c r="DP31">
        <v>0.52</v>
      </c>
      <c r="DQ31">
        <v>0.52</v>
      </c>
      <c r="DR31">
        <v>0.53</v>
      </c>
      <c r="DS31">
        <v>0.53</v>
      </c>
      <c r="DT31">
        <v>0.55000000000000004</v>
      </c>
      <c r="DU31">
        <v>0.53</v>
      </c>
      <c r="DV31">
        <v>0.55000000000000004</v>
      </c>
      <c r="DW31" s="4">
        <f t="shared" si="3"/>
        <v>0.52454545454545454</v>
      </c>
      <c r="DX31" s="4">
        <f t="shared" si="13"/>
        <v>1.1433981403515181E-2</v>
      </c>
      <c r="DY31" s="4">
        <f t="shared" si="14"/>
        <v>22</v>
      </c>
      <c r="DZ31" s="4">
        <f t="shared" si="15"/>
        <v>2.4377330260261644E-3</v>
      </c>
    </row>
    <row r="32" spans="1:130" x14ac:dyDescent="0.25">
      <c r="A32" s="1" t="s">
        <v>124</v>
      </c>
      <c r="B32">
        <v>150</v>
      </c>
      <c r="C32">
        <v>150.69999999999999</v>
      </c>
      <c r="D32">
        <v>149.30000000000001</v>
      </c>
      <c r="E32">
        <v>151.19999999999999</v>
      </c>
      <c r="F32">
        <v>154.9</v>
      </c>
      <c r="G32">
        <v>153.5</v>
      </c>
      <c r="H32">
        <v>159.5</v>
      </c>
      <c r="I32">
        <v>157.30000000000001</v>
      </c>
      <c r="J32">
        <v>156.30000000000001</v>
      </c>
      <c r="K32">
        <v>148.1</v>
      </c>
      <c r="L32">
        <v>148</v>
      </c>
      <c r="M32">
        <v>151.30000000000001</v>
      </c>
      <c r="N32">
        <v>150.69999999999999</v>
      </c>
      <c r="O32">
        <v>152.1</v>
      </c>
      <c r="P32">
        <v>151.19999999999999</v>
      </c>
      <c r="Q32">
        <v>155.69999999999999</v>
      </c>
      <c r="R32">
        <v>159.19999999999999</v>
      </c>
      <c r="S32">
        <v>157.1</v>
      </c>
      <c r="T32">
        <v>149.6</v>
      </c>
      <c r="U32">
        <v>147</v>
      </c>
      <c r="V32">
        <v>156.30000000000001</v>
      </c>
      <c r="W32">
        <v>145.6</v>
      </c>
      <c r="X32">
        <v>150.19999999999999</v>
      </c>
      <c r="Y32">
        <v>160.1</v>
      </c>
      <c r="Z32" s="4">
        <f>AVERAGE(B32:Y32)</f>
        <v>152.70416666666662</v>
      </c>
      <c r="AA32" s="4">
        <f>_xlfn.STDEV.S(B32:Y32)</f>
        <v>4.1695041063361042</v>
      </c>
      <c r="AB32" s="4">
        <f t="shared" si="17"/>
        <v>24</v>
      </c>
      <c r="AC32" s="4">
        <f t="shared" si="4"/>
        <v>0.8510964617468858</v>
      </c>
      <c r="AD32">
        <v>145.4</v>
      </c>
      <c r="AE32">
        <v>150.19999999999999</v>
      </c>
      <c r="AF32">
        <v>145.1</v>
      </c>
      <c r="AG32">
        <v>143.6</v>
      </c>
      <c r="AH32">
        <v>147.30000000000001</v>
      </c>
      <c r="AI32">
        <v>142.30000000000001</v>
      </c>
      <c r="AJ32">
        <v>153.4</v>
      </c>
      <c r="AK32">
        <v>153.6</v>
      </c>
      <c r="AL32">
        <v>152.30000000000001</v>
      </c>
      <c r="AM32">
        <v>150.69999999999999</v>
      </c>
      <c r="AN32">
        <v>149.5</v>
      </c>
      <c r="AO32">
        <v>150.5</v>
      </c>
      <c r="AP32">
        <v>146.1</v>
      </c>
      <c r="AQ32">
        <v>149.19999999999999</v>
      </c>
      <c r="AR32">
        <v>145.69999999999999</v>
      </c>
      <c r="AS32">
        <v>150.4</v>
      </c>
      <c r="AT32">
        <v>151</v>
      </c>
      <c r="AU32">
        <v>150.4</v>
      </c>
      <c r="AV32">
        <v>153.4</v>
      </c>
      <c r="AW32" s="4">
        <f t="shared" si="0"/>
        <v>148.95263157894738</v>
      </c>
      <c r="AX32" s="4">
        <f t="shared" si="5"/>
        <v>3.4150595278775699</v>
      </c>
      <c r="AY32" s="4">
        <f t="shared" si="6"/>
        <v>19</v>
      </c>
      <c r="AZ32" s="4">
        <f t="shared" si="7"/>
        <v>0.78346838779968686</v>
      </c>
      <c r="BA32">
        <v>153.1</v>
      </c>
      <c r="BB32">
        <v>152.69999999999999</v>
      </c>
      <c r="BC32">
        <v>153.30000000000001</v>
      </c>
      <c r="BD32">
        <v>146.9</v>
      </c>
      <c r="BE32">
        <v>148.6</v>
      </c>
      <c r="BF32">
        <v>146</v>
      </c>
      <c r="BG32">
        <v>142.69999999999999</v>
      </c>
      <c r="BH32">
        <v>145.19999999999999</v>
      </c>
      <c r="BI32">
        <v>149.5</v>
      </c>
      <c r="BJ32">
        <v>148.30000000000001</v>
      </c>
      <c r="BK32">
        <v>146.9</v>
      </c>
      <c r="BL32">
        <v>151.19999999999999</v>
      </c>
      <c r="BM32">
        <v>146.4</v>
      </c>
      <c r="BN32">
        <v>144.19999999999999</v>
      </c>
      <c r="BO32">
        <v>145.4</v>
      </c>
      <c r="BP32">
        <v>143</v>
      </c>
      <c r="BQ32">
        <v>145</v>
      </c>
      <c r="BR32">
        <v>144.6</v>
      </c>
      <c r="BS32">
        <v>149.30000000000001</v>
      </c>
      <c r="BT32">
        <v>143.6</v>
      </c>
      <c r="BU32">
        <v>146.1</v>
      </c>
      <c r="BV32" s="4">
        <f t="shared" si="1"/>
        <v>147.23809523809524</v>
      </c>
      <c r="BW32" s="4">
        <f t="shared" si="16"/>
        <v>3.2654978472625271</v>
      </c>
      <c r="BX32" s="4">
        <f t="shared" si="8"/>
        <v>21</v>
      </c>
      <c r="BY32" s="4">
        <f t="shared" si="9"/>
        <v>0.71259005079980353</v>
      </c>
      <c r="BZ32">
        <v>140.80000000000001</v>
      </c>
      <c r="CA32">
        <v>141.9</v>
      </c>
      <c r="CB32">
        <v>144.9</v>
      </c>
      <c r="CC32">
        <v>151.5</v>
      </c>
      <c r="CD32">
        <v>149.1</v>
      </c>
      <c r="CE32">
        <v>148.9</v>
      </c>
      <c r="CF32">
        <v>147.19999999999999</v>
      </c>
      <c r="CG32">
        <v>147.19999999999999</v>
      </c>
      <c r="CH32">
        <v>146.30000000000001</v>
      </c>
      <c r="CI32">
        <v>141.4</v>
      </c>
      <c r="CJ32">
        <v>145.19999999999999</v>
      </c>
      <c r="CK32">
        <v>142.4</v>
      </c>
      <c r="CL32">
        <v>147.1</v>
      </c>
      <c r="CM32">
        <v>148.30000000000001</v>
      </c>
      <c r="CN32">
        <v>148.69999999999999</v>
      </c>
      <c r="CO32">
        <v>145.19999999999999</v>
      </c>
      <c r="CP32">
        <v>144.80000000000001</v>
      </c>
      <c r="CQ32">
        <v>144.6</v>
      </c>
      <c r="CR32">
        <v>152.6</v>
      </c>
      <c r="CS32">
        <v>148.5</v>
      </c>
      <c r="CT32">
        <v>151.5</v>
      </c>
      <c r="CU32">
        <v>153.4</v>
      </c>
      <c r="CV32">
        <v>149.80000000000001</v>
      </c>
      <c r="CW32" s="4">
        <f t="shared" si="2"/>
        <v>147.01304347826087</v>
      </c>
      <c r="CX32" s="4">
        <f t="shared" si="10"/>
        <v>3.5326148373312356</v>
      </c>
      <c r="CY32" s="4">
        <f t="shared" si="11"/>
        <v>23</v>
      </c>
      <c r="CZ32" s="4">
        <f t="shared" si="12"/>
        <v>0.73660111289545116</v>
      </c>
      <c r="DA32">
        <v>161</v>
      </c>
      <c r="DB32">
        <v>144</v>
      </c>
      <c r="DC32">
        <v>142.80000000000001</v>
      </c>
      <c r="DD32">
        <v>150.30000000000001</v>
      </c>
      <c r="DE32">
        <v>141.9</v>
      </c>
      <c r="DF32">
        <v>142.1</v>
      </c>
      <c r="DG32">
        <v>141</v>
      </c>
      <c r="DH32">
        <v>143.1</v>
      </c>
      <c r="DI32">
        <v>146</v>
      </c>
      <c r="DJ32">
        <v>145.69999999999999</v>
      </c>
      <c r="DK32">
        <v>145.30000000000001</v>
      </c>
      <c r="DL32">
        <v>145.6</v>
      </c>
      <c r="DM32">
        <v>143.80000000000001</v>
      </c>
      <c r="DN32">
        <v>140.30000000000001</v>
      </c>
      <c r="DO32">
        <v>139.1</v>
      </c>
      <c r="DP32">
        <v>148.5</v>
      </c>
      <c r="DQ32">
        <v>147.6</v>
      </c>
      <c r="DR32">
        <v>145.19999999999999</v>
      </c>
      <c r="DS32">
        <v>150.69999999999999</v>
      </c>
      <c r="DT32">
        <v>148.80000000000001</v>
      </c>
      <c r="DU32">
        <v>145.30000000000001</v>
      </c>
      <c r="DV32">
        <v>150.80000000000001</v>
      </c>
      <c r="DW32" s="4">
        <f t="shared" si="3"/>
        <v>145.85909090909092</v>
      </c>
      <c r="DX32" s="4">
        <f t="shared" si="13"/>
        <v>4.7374555246972871</v>
      </c>
      <c r="DY32" s="4">
        <f t="shared" si="14"/>
        <v>22</v>
      </c>
      <c r="DZ32" s="4">
        <f t="shared" si="15"/>
        <v>1.0100289115683059</v>
      </c>
    </row>
    <row r="33" spans="1:130" x14ac:dyDescent="0.25">
      <c r="A33" s="1" t="s">
        <v>125</v>
      </c>
      <c r="B33">
        <v>101</v>
      </c>
      <c r="C33">
        <v>101.5</v>
      </c>
      <c r="D33">
        <v>100.5</v>
      </c>
      <c r="E33">
        <v>101.9</v>
      </c>
      <c r="F33">
        <v>104.3</v>
      </c>
      <c r="G33">
        <v>103.4</v>
      </c>
      <c r="H33">
        <v>101.3</v>
      </c>
      <c r="I33">
        <v>105.9</v>
      </c>
      <c r="J33">
        <v>105.2</v>
      </c>
      <c r="K33">
        <v>99.6</v>
      </c>
      <c r="L33">
        <v>99.6</v>
      </c>
      <c r="M33">
        <v>101.9</v>
      </c>
      <c r="N33">
        <v>101.6</v>
      </c>
      <c r="O33">
        <v>102.4</v>
      </c>
      <c r="P33">
        <v>101.9</v>
      </c>
      <c r="Q33">
        <v>104.8</v>
      </c>
      <c r="R33">
        <v>107.1</v>
      </c>
      <c r="S33">
        <v>105.7</v>
      </c>
      <c r="T33">
        <v>100.8</v>
      </c>
      <c r="U33">
        <v>99.1</v>
      </c>
      <c r="V33">
        <v>105.2</v>
      </c>
      <c r="W33">
        <v>98.1</v>
      </c>
      <c r="X33">
        <v>101.2</v>
      </c>
      <c r="Y33">
        <v>107.7</v>
      </c>
      <c r="Z33" s="4">
        <f>AVERAGE(B33:Y33)</f>
        <v>102.57083333333331</v>
      </c>
      <c r="AA33" s="4">
        <f>_xlfn.STDEV.S(B33:Y33)</f>
        <v>2.6102605511572108</v>
      </c>
      <c r="AB33" s="4">
        <f t="shared" si="17"/>
        <v>24</v>
      </c>
      <c r="AC33" s="4">
        <f t="shared" si="4"/>
        <v>0.53281720383759612</v>
      </c>
      <c r="AD33">
        <v>98.1</v>
      </c>
      <c r="AE33">
        <v>101.3</v>
      </c>
      <c r="AF33">
        <v>97.9</v>
      </c>
      <c r="AG33">
        <v>97</v>
      </c>
      <c r="AH33">
        <v>99.4</v>
      </c>
      <c r="AI33">
        <v>96.1</v>
      </c>
      <c r="AJ33">
        <v>103.5</v>
      </c>
      <c r="AK33">
        <v>103.5</v>
      </c>
      <c r="AL33">
        <v>102.7</v>
      </c>
      <c r="AM33">
        <v>101.7</v>
      </c>
      <c r="AN33">
        <v>100.8</v>
      </c>
      <c r="AO33">
        <v>101.5</v>
      </c>
      <c r="AP33">
        <v>98.7</v>
      </c>
      <c r="AQ33">
        <v>100.6</v>
      </c>
      <c r="AR33">
        <v>98.4</v>
      </c>
      <c r="AS33">
        <v>101.3</v>
      </c>
      <c r="AT33">
        <v>101.7</v>
      </c>
      <c r="AU33">
        <v>101.3</v>
      </c>
      <c r="AV33">
        <v>103.4</v>
      </c>
      <c r="AW33" s="4">
        <f t="shared" si="0"/>
        <v>100.46842105263158</v>
      </c>
      <c r="AX33" s="4">
        <f t="shared" si="5"/>
        <v>2.237571260585645</v>
      </c>
      <c r="AY33" s="4">
        <f t="shared" si="6"/>
        <v>19</v>
      </c>
      <c r="AZ33" s="4">
        <f t="shared" si="7"/>
        <v>0.51333405283493372</v>
      </c>
      <c r="BA33">
        <v>103.4</v>
      </c>
      <c r="BB33">
        <v>103.1</v>
      </c>
      <c r="BC33">
        <v>103.4</v>
      </c>
      <c r="BD33">
        <v>99</v>
      </c>
      <c r="BE33">
        <v>100.1</v>
      </c>
      <c r="BF33">
        <v>98.4</v>
      </c>
      <c r="BG33">
        <v>96.4</v>
      </c>
      <c r="BH33">
        <v>98</v>
      </c>
      <c r="BI33">
        <v>101</v>
      </c>
      <c r="BJ33">
        <v>100.3</v>
      </c>
      <c r="BK33">
        <v>99.1</v>
      </c>
      <c r="BL33">
        <v>102</v>
      </c>
      <c r="BM33">
        <v>98.8</v>
      </c>
      <c r="BN33">
        <v>97.4</v>
      </c>
      <c r="BO33">
        <v>98</v>
      </c>
      <c r="BP33">
        <v>96.6</v>
      </c>
      <c r="BQ33">
        <v>98</v>
      </c>
      <c r="BR33">
        <v>97.6</v>
      </c>
      <c r="BS33">
        <v>100.7</v>
      </c>
      <c r="BT33">
        <v>96.9</v>
      </c>
      <c r="BU33">
        <v>98.7</v>
      </c>
      <c r="BV33" s="4">
        <f t="shared" si="1"/>
        <v>99.376190476190459</v>
      </c>
      <c r="BW33" s="4">
        <f t="shared" si="16"/>
        <v>2.1942891245013181</v>
      </c>
      <c r="BX33" s="4">
        <f t="shared" si="8"/>
        <v>21</v>
      </c>
      <c r="BY33" s="4">
        <f t="shared" si="9"/>
        <v>0.47883314331646049</v>
      </c>
      <c r="BZ33">
        <v>95.2</v>
      </c>
      <c r="CA33">
        <v>95.7</v>
      </c>
      <c r="CB33">
        <v>97.8</v>
      </c>
      <c r="CC33">
        <v>102.3</v>
      </c>
      <c r="CD33">
        <v>100.8</v>
      </c>
      <c r="CE33">
        <v>100.7</v>
      </c>
      <c r="CF33">
        <v>99.6</v>
      </c>
      <c r="CG33">
        <v>99.6</v>
      </c>
      <c r="CH33">
        <v>98.9</v>
      </c>
      <c r="CI33">
        <v>95.8</v>
      </c>
      <c r="CJ33">
        <v>98</v>
      </c>
      <c r="CK33">
        <v>96.2</v>
      </c>
      <c r="CL33">
        <v>99.5</v>
      </c>
      <c r="CM33">
        <v>100.2</v>
      </c>
      <c r="CN33">
        <v>100.4</v>
      </c>
      <c r="CO33">
        <v>98.3</v>
      </c>
      <c r="CP33">
        <v>97.9</v>
      </c>
      <c r="CQ33">
        <v>97.8</v>
      </c>
      <c r="CR33">
        <v>103</v>
      </c>
      <c r="CS33">
        <v>100.3</v>
      </c>
      <c r="CT33">
        <v>102.2</v>
      </c>
      <c r="CU33">
        <v>103.5</v>
      </c>
      <c r="CV33">
        <v>101.1</v>
      </c>
      <c r="CW33" s="4">
        <f t="shared" si="2"/>
        <v>99.339130434782618</v>
      </c>
      <c r="CX33" s="4">
        <f t="shared" si="10"/>
        <v>2.3387524122595362</v>
      </c>
      <c r="CY33" s="4">
        <f t="shared" si="11"/>
        <v>23</v>
      </c>
      <c r="CZ33" s="4">
        <f t="shared" si="12"/>
        <v>0.48766358886686739</v>
      </c>
      <c r="DA33">
        <v>99</v>
      </c>
      <c r="DB33">
        <v>97</v>
      </c>
      <c r="DC33">
        <v>96.4</v>
      </c>
      <c r="DD33">
        <v>101.4</v>
      </c>
      <c r="DE33">
        <v>95.9</v>
      </c>
      <c r="DF33">
        <v>96.1</v>
      </c>
      <c r="DG33">
        <v>95.4</v>
      </c>
      <c r="DH33">
        <v>96.8</v>
      </c>
      <c r="DI33">
        <v>98.6</v>
      </c>
      <c r="DJ33">
        <v>98.6</v>
      </c>
      <c r="DK33">
        <v>98.1</v>
      </c>
      <c r="DL33">
        <v>98.4</v>
      </c>
      <c r="DM33">
        <v>97.2</v>
      </c>
      <c r="DN33">
        <v>94.9</v>
      </c>
      <c r="DO33">
        <v>94.2</v>
      </c>
      <c r="DP33">
        <v>100.3</v>
      </c>
      <c r="DQ33">
        <v>99.7</v>
      </c>
      <c r="DR33">
        <v>98.2</v>
      </c>
      <c r="DS33">
        <v>101.7</v>
      </c>
      <c r="DT33">
        <v>100.4</v>
      </c>
      <c r="DU33">
        <v>98.3</v>
      </c>
      <c r="DV33">
        <v>101.9</v>
      </c>
      <c r="DW33" s="4">
        <f t="shared" si="3"/>
        <v>98.113636363636388</v>
      </c>
      <c r="DX33" s="4">
        <f t="shared" si="13"/>
        <v>2.1887799285806637</v>
      </c>
      <c r="DY33" s="4">
        <f t="shared" si="14"/>
        <v>22</v>
      </c>
      <c r="DZ33" s="4">
        <f t="shared" si="15"/>
        <v>0.46664944871817932</v>
      </c>
    </row>
    <row r="34" spans="1:130" s="5" customFormat="1" x14ac:dyDescent="0.25">
      <c r="A34" s="1" t="s">
        <v>131</v>
      </c>
      <c r="B34" s="5">
        <f>SUM(B14,-B16)</f>
        <v>29</v>
      </c>
      <c r="C34" s="5">
        <f>SUM(C14,-C16)</f>
        <v>28</v>
      </c>
      <c r="D34" s="5">
        <f>SUM(D14,-D16)</f>
        <v>29</v>
      </c>
      <c r="E34" s="5">
        <f>SUM(E14,-E16)</f>
        <v>29</v>
      </c>
      <c r="F34" s="5">
        <f>SUM(F14,-F16)</f>
        <v>28</v>
      </c>
      <c r="G34" s="5">
        <f>SUM(G14,-G16)</f>
        <v>28</v>
      </c>
      <c r="H34" s="5">
        <f>SUM(H14,-H16)</f>
        <v>28</v>
      </c>
      <c r="I34" s="5">
        <f>SUM(I14,-I16)</f>
        <v>30</v>
      </c>
      <c r="J34" s="5">
        <f>SUM(J14,-J16)</f>
        <v>30</v>
      </c>
      <c r="K34" s="5">
        <f>SUM(K14,-K16)</f>
        <v>22</v>
      </c>
      <c r="L34" s="5">
        <f>SUM(L14,-L16)</f>
        <v>24</v>
      </c>
      <c r="M34" s="5">
        <f>SUM(M14,-M16)</f>
        <v>24</v>
      </c>
      <c r="N34" s="5">
        <f>SUM(N14,-N16)</f>
        <v>22</v>
      </c>
      <c r="O34" s="5">
        <f>SUM(O14,-O16)</f>
        <v>22</v>
      </c>
      <c r="P34" s="5">
        <f>SUM(P14,-P16)</f>
        <v>23</v>
      </c>
      <c r="Q34" s="5">
        <f>SUM(Q14,-Q16)</f>
        <v>23</v>
      </c>
      <c r="R34" s="5">
        <f>SUM(R14,-R16)</f>
        <v>23</v>
      </c>
      <c r="S34" s="5">
        <f>SUM(S14,-S16)</f>
        <v>24</v>
      </c>
      <c r="T34" s="5">
        <f>SUM(T14,-T16)</f>
        <v>28</v>
      </c>
      <c r="U34" s="5">
        <f>SUM(U14,-U16)</f>
        <v>31</v>
      </c>
      <c r="V34" s="5">
        <f>SUM(V14,-V16)</f>
        <v>26</v>
      </c>
      <c r="W34" s="5">
        <f>SUM(W14,-W16)</f>
        <v>25</v>
      </c>
      <c r="X34" s="5">
        <f>SUM(X14,-X16)</f>
        <v>26</v>
      </c>
      <c r="Y34" s="5">
        <f>SUM(Y14,-Y16)</f>
        <v>27</v>
      </c>
      <c r="Z34" s="4">
        <f>SUM(Z14,-Z16)</f>
        <v>26.208333333333343</v>
      </c>
      <c r="AA34" s="4">
        <f>_xlfn.STDEV.S(B34:Y34)</f>
        <v>2.888946952222136</v>
      </c>
      <c r="AB34" s="4">
        <f t="shared" si="17"/>
        <v>24</v>
      </c>
      <c r="AC34" s="4">
        <f t="shared" si="4"/>
        <v>0.58970382724273729</v>
      </c>
      <c r="AD34" s="5">
        <f>SUM(AD14,-AD16)</f>
        <v>35</v>
      </c>
      <c r="AE34" s="5">
        <f>SUM(AE14,-AE16)</f>
        <v>35</v>
      </c>
      <c r="AF34" s="5">
        <f>SUM(AF14,-AF16)</f>
        <v>34</v>
      </c>
      <c r="AG34" s="5">
        <f>SUM(AG14,-AG16)</f>
        <v>37</v>
      </c>
      <c r="AH34" s="5">
        <f>SUM(AH14,-AH16)</f>
        <v>35</v>
      </c>
      <c r="AI34" s="5">
        <f>SUM(AI14,-AI16)</f>
        <v>36</v>
      </c>
      <c r="AJ34" s="5">
        <f>SUM(AJ14,-AJ16)</f>
        <v>35</v>
      </c>
      <c r="AK34" s="5">
        <f>SUM(AK14,-AK16)</f>
        <v>36</v>
      </c>
      <c r="AL34" s="5">
        <f>SUM(AL14,-AL16)</f>
        <v>35</v>
      </c>
      <c r="AM34" s="5">
        <f>SUM(AM14,-AM16)</f>
        <v>32</v>
      </c>
      <c r="AN34" s="5">
        <f>SUM(AN14,-AN16)</f>
        <v>31</v>
      </c>
      <c r="AO34" s="5">
        <f>SUM(AO14,-AO16)</f>
        <v>30</v>
      </c>
      <c r="AP34" s="5">
        <f>SUM(AP14,-AP16)</f>
        <v>32</v>
      </c>
      <c r="AQ34" s="5">
        <f>SUM(AQ14,-AQ16)</f>
        <v>31</v>
      </c>
      <c r="AR34" s="5">
        <f>SUM(AR14,-AR16)</f>
        <v>36</v>
      </c>
      <c r="AS34" s="5">
        <f>SUM(AS14,-AS16)</f>
        <v>29</v>
      </c>
      <c r="AT34" s="5">
        <f>SUM(AT14,-AT16)</f>
        <v>33</v>
      </c>
      <c r="AU34" s="5">
        <f>SUM(AU14,-AU16)</f>
        <v>30</v>
      </c>
      <c r="AV34" s="5">
        <f>SUM(AV14,-AV16)</f>
        <v>30</v>
      </c>
      <c r="AW34" s="4">
        <f>SUM(AW14,-AW16)</f>
        <v>33.263157894736835</v>
      </c>
      <c r="AX34" s="4">
        <f t="shared" si="5"/>
        <v>2.5351332479369444</v>
      </c>
      <c r="AY34" s="4">
        <f t="shared" si="6"/>
        <v>19</v>
      </c>
      <c r="AZ34" s="4">
        <f t="shared" si="7"/>
        <v>0.58159945453511486</v>
      </c>
      <c r="BA34" s="5">
        <f>SUM(BA14,-BA16)</f>
        <v>37</v>
      </c>
      <c r="BB34" s="5">
        <f>SUM(BB14,-BB16)</f>
        <v>36</v>
      </c>
      <c r="BC34" s="5">
        <f>SUM(BC14,-BC16)</f>
        <v>36</v>
      </c>
      <c r="BD34" s="5">
        <f>SUM(BD14,-BD16)</f>
        <v>36</v>
      </c>
      <c r="BE34" s="5">
        <f>SUM(BE14,-BE16)</f>
        <v>36</v>
      </c>
      <c r="BF34" s="5">
        <f>SUM(BF14,-BF16)</f>
        <v>36</v>
      </c>
      <c r="BG34" s="5">
        <f>SUM(BG14,-BG16)</f>
        <v>38</v>
      </c>
      <c r="BH34" s="5">
        <f>SUM(BH14,-BH16)</f>
        <v>39</v>
      </c>
      <c r="BI34" s="5">
        <f>SUM(BI14,-BI16)</f>
        <v>40</v>
      </c>
      <c r="BJ34" s="5">
        <f>SUM(BJ14,-BJ16)</f>
        <v>42</v>
      </c>
      <c r="BK34" s="5">
        <f>SUM(BK14,-BK16)</f>
        <v>35</v>
      </c>
      <c r="BL34" s="5">
        <f>SUM(BL14,-BL16)</f>
        <v>35</v>
      </c>
      <c r="BM34" s="5">
        <f>SUM(BM14,-BM16)</f>
        <v>35</v>
      </c>
      <c r="BN34" s="5">
        <f>SUM(BN14,-BN16)</f>
        <v>36</v>
      </c>
      <c r="BO34" s="5">
        <f>SUM(BO14,-BO16)</f>
        <v>34</v>
      </c>
      <c r="BP34" s="5">
        <f>SUM(BP14,-BP16)</f>
        <v>36</v>
      </c>
      <c r="BQ34" s="5">
        <f>SUM(BQ14,-BQ16)</f>
        <v>34</v>
      </c>
      <c r="BR34" s="5">
        <f>SUM(BR14,-BR16)</f>
        <v>35</v>
      </c>
      <c r="BS34" s="5">
        <f>SUM(BS14,-BS16)</f>
        <v>36</v>
      </c>
      <c r="BT34" s="5">
        <f>SUM(BT14,-BT16)</f>
        <v>37</v>
      </c>
      <c r="BU34" s="5">
        <f>SUM(BU14,-BU16)</f>
        <v>37</v>
      </c>
      <c r="BV34" s="4">
        <f>SUM(BV14,-BV16)</f>
        <v>36.476190476190467</v>
      </c>
      <c r="BW34" s="4">
        <f t="shared" si="16"/>
        <v>1.9395630337539338</v>
      </c>
      <c r="BX34" s="4">
        <f t="shared" si="8"/>
        <v>21</v>
      </c>
      <c r="BY34" s="4">
        <f t="shared" si="9"/>
        <v>0.42324735320550433</v>
      </c>
      <c r="BZ34" s="5">
        <f>SUM(BZ14,-BZ16)</f>
        <v>41</v>
      </c>
      <c r="CA34" s="5">
        <f>SUM(CA14,-CA16)</f>
        <v>41</v>
      </c>
      <c r="CB34" s="5">
        <f>SUM(CB14,-CB16)</f>
        <v>42</v>
      </c>
      <c r="CC34" s="5">
        <f>SUM(CC14,-CC16)</f>
        <v>43</v>
      </c>
      <c r="CD34" s="5">
        <f>SUM(CD14,-CD16)</f>
        <v>43</v>
      </c>
      <c r="CE34" s="5">
        <f>SUM(CE14,-CE16)</f>
        <v>43</v>
      </c>
      <c r="CF34" s="5">
        <f>SUM(CF14,-CF16)</f>
        <v>42</v>
      </c>
      <c r="CG34" s="5">
        <f>SUM(CG14,-CG16)</f>
        <v>43</v>
      </c>
      <c r="CH34" s="5">
        <f>SUM(CH14,-CH16)</f>
        <v>42</v>
      </c>
      <c r="CI34" s="5">
        <f>SUM(CI14,-CI16)</f>
        <v>42</v>
      </c>
      <c r="CJ34" s="5">
        <f>SUM(CJ14,-CJ16)</f>
        <v>42</v>
      </c>
      <c r="CK34" s="5">
        <f>SUM(CK14,-CK16)</f>
        <v>42</v>
      </c>
      <c r="CL34" s="5">
        <f>SUM(CL14,-CL16)</f>
        <v>43</v>
      </c>
      <c r="CM34" s="5">
        <f>SUM(CM14,-CM16)</f>
        <v>42</v>
      </c>
      <c r="CN34" s="5">
        <f>SUM(CN14,-CN16)</f>
        <v>42</v>
      </c>
      <c r="CO34" s="5">
        <f>SUM(CO14,-CO16)</f>
        <v>42</v>
      </c>
      <c r="CP34" s="5">
        <f>SUM(CP14,-CP16)</f>
        <v>43</v>
      </c>
      <c r="CQ34" s="5">
        <f>SUM(CQ14,-CQ16)</f>
        <v>43</v>
      </c>
      <c r="CR34" s="5">
        <f>SUM(CR14,-CR16)</f>
        <v>38</v>
      </c>
      <c r="CS34" s="5">
        <f>SUM(CS14,-CS16)</f>
        <v>36</v>
      </c>
      <c r="CT34" s="5">
        <f>SUM(CT14,-CT16)</f>
        <v>36</v>
      </c>
      <c r="CU34" s="5">
        <f>SUM(CU14,-CU16)</f>
        <v>37</v>
      </c>
      <c r="CV34" s="5">
        <f>SUM(CV14,-CV16)</f>
        <v>36</v>
      </c>
      <c r="CW34" s="4">
        <f>SUM(CW14,-CW16)</f>
        <v>41.043478260869577</v>
      </c>
      <c r="CX34" s="4">
        <f t="shared" si="10"/>
        <v>2.4950543967392269</v>
      </c>
      <c r="CY34" s="4">
        <f t="shared" si="11"/>
        <v>23</v>
      </c>
      <c r="CZ34" s="4">
        <f t="shared" si="12"/>
        <v>0.52025480557660808</v>
      </c>
      <c r="DA34" s="5">
        <f>SUM(DA14,-DA16)</f>
        <v>40</v>
      </c>
      <c r="DB34" s="5">
        <f>SUM(DB14,-DB16)</f>
        <v>40</v>
      </c>
      <c r="DC34" s="5">
        <f>SUM(DC14,-DC16)</f>
        <v>40</v>
      </c>
      <c r="DD34" s="5">
        <f>SUM(DD14,-DD16)</f>
        <v>40</v>
      </c>
      <c r="DE34" s="5">
        <f>SUM(DE14,-DE16)</f>
        <v>43</v>
      </c>
      <c r="DF34" s="5">
        <f>SUM(DF14,-DF16)</f>
        <v>42</v>
      </c>
      <c r="DG34" s="5">
        <f>SUM(DG14,-DG16)</f>
        <v>42</v>
      </c>
      <c r="DH34" s="5">
        <f>SUM(DH14,-DH16)</f>
        <v>44</v>
      </c>
      <c r="DI34" s="5">
        <f>SUM(DI14,-DI16)</f>
        <v>45</v>
      </c>
      <c r="DJ34" s="5">
        <f>SUM(DJ14,-DJ16)</f>
        <v>45</v>
      </c>
      <c r="DK34" s="5">
        <f>SUM(DK14,-DK16)</f>
        <v>40</v>
      </c>
      <c r="DL34" s="5">
        <f>SUM(DL14,-DL16)</f>
        <v>43</v>
      </c>
      <c r="DM34" s="5">
        <f>SUM(DM14,-DM16)</f>
        <v>41</v>
      </c>
      <c r="DN34" s="5">
        <f>SUM(DN14,-DN16)</f>
        <v>43</v>
      </c>
      <c r="DO34" s="5">
        <f>SUM(DO14,-DO16)</f>
        <v>42</v>
      </c>
      <c r="DP34" s="5">
        <f>SUM(DP14,-DP16)</f>
        <v>45</v>
      </c>
      <c r="DQ34" s="5">
        <f>SUM(DQ14,-DQ16)</f>
        <v>44</v>
      </c>
      <c r="DR34" s="5">
        <f>SUM(DR14,-DR16)</f>
        <v>44</v>
      </c>
      <c r="DS34" s="5">
        <f>SUM(DS14,-DS16)</f>
        <v>44</v>
      </c>
      <c r="DT34" s="5">
        <f>SUM(DT14,-DT16)</f>
        <v>37</v>
      </c>
      <c r="DU34" s="5">
        <f>SUM(DU14,-DU16)</f>
        <v>44</v>
      </c>
      <c r="DV34" s="5">
        <f>SUM(DV14,-DV16)</f>
        <v>45</v>
      </c>
      <c r="DW34" s="4">
        <f>SUM(DW14,-DW16)</f>
        <v>42.409090909090921</v>
      </c>
      <c r="DX34" s="4">
        <f t="shared" si="13"/>
        <v>2.1965143579488222</v>
      </c>
      <c r="DY34" s="4">
        <f t="shared" si="14"/>
        <v>22</v>
      </c>
      <c r="DZ34" s="4">
        <f t="shared" si="15"/>
        <v>0.46829843460007259</v>
      </c>
    </row>
    <row r="35" spans="1:130" s="5" customFormat="1" x14ac:dyDescent="0.25">
      <c r="A35" s="1" t="s">
        <v>132</v>
      </c>
      <c r="B35" s="5">
        <f>SUM(B14,-B15)</f>
        <v>1</v>
      </c>
      <c r="C35" s="5">
        <f>SUM(C14,-C15)</f>
        <v>0</v>
      </c>
      <c r="D35" s="5">
        <f>SUM(D14,-D15)</f>
        <v>0</v>
      </c>
      <c r="E35" s="5">
        <f>SUM(E14,-E15)</f>
        <v>1</v>
      </c>
      <c r="F35" s="5">
        <f>SUM(F14,-F15)</f>
        <v>0</v>
      </c>
      <c r="G35" s="5">
        <f>SUM(G14,-G15)</f>
        <v>0</v>
      </c>
      <c r="H35" s="5">
        <f>SUM(H14,-H15)</f>
        <v>0</v>
      </c>
      <c r="I35" s="5">
        <f>SUM(I14,-I15)</f>
        <v>0</v>
      </c>
      <c r="J35" s="5">
        <f>SUM(J14,-J15)</f>
        <v>0</v>
      </c>
      <c r="K35" s="5">
        <f>SUM(K14,-K15)</f>
        <v>-2</v>
      </c>
      <c r="L35" s="5">
        <f>SUM(L14,-L15)</f>
        <v>-2</v>
      </c>
      <c r="M35" s="5">
        <f>SUM(M14,-M15)</f>
        <v>-3</v>
      </c>
      <c r="N35" s="5">
        <f>SUM(N14,-N15)</f>
        <v>-2</v>
      </c>
      <c r="O35" s="5">
        <f>SUM(O14,-O15)</f>
        <v>-3</v>
      </c>
      <c r="P35" s="5">
        <f>SUM(P14,-P15)</f>
        <v>-2</v>
      </c>
      <c r="Q35" s="5">
        <f>SUM(Q14,-Q15)</f>
        <v>-2</v>
      </c>
      <c r="R35" s="5">
        <f>SUM(R14,-R15)</f>
        <v>-2</v>
      </c>
      <c r="S35" s="5">
        <f>SUM(S14,-S15)</f>
        <v>-2</v>
      </c>
      <c r="T35" s="5">
        <f>SUM(T14,-T15)</f>
        <v>0</v>
      </c>
      <c r="U35" s="5">
        <f>SUM(U14,-U15)</f>
        <v>1</v>
      </c>
      <c r="V35" s="5">
        <f>SUM(V14,-V15)</f>
        <v>0</v>
      </c>
      <c r="W35" s="5">
        <f>SUM(W14,-W15)</f>
        <v>-3</v>
      </c>
      <c r="X35" s="5">
        <f>SUM(X14,-X15)</f>
        <v>-3</v>
      </c>
      <c r="Y35" s="5">
        <f>SUM(Y14,-Y15)</f>
        <v>-1</v>
      </c>
      <c r="Z35" s="4">
        <f>SUM(Z14,-Z15)</f>
        <v>-1</v>
      </c>
      <c r="AA35" s="4">
        <f>_xlfn.STDEV.S(B35:Y35)</f>
        <v>1.3831281496162493</v>
      </c>
      <c r="AB35" s="4">
        <f t="shared" si="17"/>
        <v>24</v>
      </c>
      <c r="AC35" s="4">
        <f t="shared" si="4"/>
        <v>0.28232985128664001</v>
      </c>
      <c r="AD35" s="5">
        <f>SUM(AD14,-AD15)</f>
        <v>1</v>
      </c>
      <c r="AE35" s="5">
        <f>SUM(AE14,-AE15)</f>
        <v>3</v>
      </c>
      <c r="AF35" s="5">
        <f>SUM(AF14,-AF15)</f>
        <v>2</v>
      </c>
      <c r="AG35" s="5">
        <f>SUM(AG14,-AG15)</f>
        <v>3</v>
      </c>
      <c r="AH35" s="5">
        <f>SUM(AH14,-AH15)</f>
        <v>2</v>
      </c>
      <c r="AI35" s="5">
        <f>SUM(AI14,-AI15)</f>
        <v>2</v>
      </c>
      <c r="AJ35" s="5">
        <f>SUM(AJ14,-AJ15)</f>
        <v>3</v>
      </c>
      <c r="AK35" s="5">
        <f>SUM(AK14,-AK15)</f>
        <v>2</v>
      </c>
      <c r="AL35" s="5">
        <f>SUM(AL14,-AL15)</f>
        <v>2</v>
      </c>
      <c r="AM35" s="5">
        <f>SUM(AM14,-AM15)</f>
        <v>3</v>
      </c>
      <c r="AN35" s="5">
        <f>SUM(AN14,-AN15)</f>
        <v>3</v>
      </c>
      <c r="AO35" s="5">
        <f>SUM(AO14,-AO15)</f>
        <v>1</v>
      </c>
      <c r="AP35" s="5">
        <f>SUM(AP14,-AP15)</f>
        <v>4</v>
      </c>
      <c r="AQ35" s="5">
        <f>SUM(AQ14,-AQ15)</f>
        <v>3</v>
      </c>
      <c r="AR35" s="5">
        <f>SUM(AR14,-AR15)</f>
        <v>2</v>
      </c>
      <c r="AS35" s="5">
        <f>SUM(AS14,-AS15)</f>
        <v>2</v>
      </c>
      <c r="AT35" s="5">
        <f>SUM(AT14,-AT15)</f>
        <v>4</v>
      </c>
      <c r="AU35" s="5">
        <f>SUM(AU14,-AU15)</f>
        <v>2</v>
      </c>
      <c r="AV35" s="5">
        <f>SUM(AV14,-AV15)</f>
        <v>4</v>
      </c>
      <c r="AW35" s="4">
        <f>SUM(AW14,-AW15)</f>
        <v>2.5263157894736707</v>
      </c>
      <c r="AX35" s="4">
        <f t="shared" si="5"/>
        <v>0.90482785671772836</v>
      </c>
      <c r="AY35" s="4">
        <f t="shared" si="6"/>
        <v>19</v>
      </c>
      <c r="AZ35" s="4">
        <f t="shared" si="7"/>
        <v>0.20758174677542515</v>
      </c>
      <c r="BA35" s="5">
        <f>SUM(BA14,-BA15)</f>
        <v>2</v>
      </c>
      <c r="BB35" s="5">
        <f>SUM(BB14,-BB15)</f>
        <v>3</v>
      </c>
      <c r="BC35" s="5">
        <f>SUM(BC14,-BC15)</f>
        <v>2</v>
      </c>
      <c r="BD35" s="5">
        <f>SUM(BD14,-BD15)</f>
        <v>3</v>
      </c>
      <c r="BE35" s="5">
        <f>SUM(BE14,-BE15)</f>
        <v>3</v>
      </c>
      <c r="BF35" s="5">
        <f>SUM(BF14,-BF15)</f>
        <v>3</v>
      </c>
      <c r="BG35" s="5">
        <f>SUM(BG14,-BG15)</f>
        <v>2</v>
      </c>
      <c r="BH35" s="5">
        <f>SUM(BH14,-BH15)</f>
        <v>3</v>
      </c>
      <c r="BI35" s="5">
        <f>SUM(BI14,-BI15)</f>
        <v>2</v>
      </c>
      <c r="BJ35" s="5">
        <f>SUM(BJ14,-BJ15)</f>
        <v>3</v>
      </c>
      <c r="BK35" s="5">
        <f>SUM(BK14,-BK15)</f>
        <v>2</v>
      </c>
      <c r="BL35" s="5">
        <f>SUM(BL14,-BL15)</f>
        <v>2</v>
      </c>
      <c r="BM35" s="5">
        <f>SUM(BM14,-BM15)</f>
        <v>2</v>
      </c>
      <c r="BN35" s="5">
        <f>SUM(BN14,-BN15)</f>
        <v>2</v>
      </c>
      <c r="BO35" s="5">
        <f>SUM(BO14,-BO15)</f>
        <v>-1</v>
      </c>
      <c r="BP35" s="5">
        <f>SUM(BP14,-BP15)</f>
        <v>2</v>
      </c>
      <c r="BQ35" s="5">
        <f>SUM(BQ14,-BQ15)</f>
        <v>3</v>
      </c>
      <c r="BR35" s="5">
        <f>SUM(BR14,-BR15)</f>
        <v>3</v>
      </c>
      <c r="BS35" s="5">
        <f>SUM(BS14,-BS15)</f>
        <v>3</v>
      </c>
      <c r="BT35" s="5">
        <f>SUM(BT14,-BT15)</f>
        <v>3</v>
      </c>
      <c r="BU35" s="5">
        <f>SUM(BU14,-BU15)</f>
        <v>3</v>
      </c>
      <c r="BV35" s="4">
        <f>SUM(BV14,-BV15)</f>
        <v>2.3809523809523796</v>
      </c>
      <c r="BW35" s="4">
        <f t="shared" si="16"/>
        <v>0.92066228749691248</v>
      </c>
      <c r="BX35" s="4">
        <f t="shared" si="8"/>
        <v>21</v>
      </c>
      <c r="BY35" s="4">
        <f t="shared" si="9"/>
        <v>0.20090498199741891</v>
      </c>
      <c r="BZ35" s="5">
        <f>SUM(BZ14,-BZ15)</f>
        <v>2</v>
      </c>
      <c r="CA35" s="5">
        <f>SUM(CA14,-CA15)</f>
        <v>2</v>
      </c>
      <c r="CB35" s="5">
        <f>SUM(CB14,-CB15)</f>
        <v>2</v>
      </c>
      <c r="CC35" s="5">
        <f>SUM(CC14,-CC15)</f>
        <v>5</v>
      </c>
      <c r="CD35" s="5">
        <f>SUM(CD14,-CD15)</f>
        <v>5</v>
      </c>
      <c r="CE35" s="5">
        <f>SUM(CE14,-CE15)</f>
        <v>5</v>
      </c>
      <c r="CF35" s="5">
        <f>SUM(CF14,-CF15)</f>
        <v>3</v>
      </c>
      <c r="CG35" s="5">
        <f>SUM(CG14,-CG15)</f>
        <v>4</v>
      </c>
      <c r="CH35" s="5">
        <f>SUM(CH14,-CH15)</f>
        <v>3</v>
      </c>
      <c r="CI35" s="5">
        <f>SUM(CI14,-CI15)</f>
        <v>3</v>
      </c>
      <c r="CJ35" s="5">
        <f>SUM(CJ14,-CJ15)</f>
        <v>2</v>
      </c>
      <c r="CK35" s="5">
        <f>SUM(CK14,-CK15)</f>
        <v>2</v>
      </c>
      <c r="CL35" s="5">
        <f>SUM(CL14,-CL15)</f>
        <v>5</v>
      </c>
      <c r="CM35" s="5">
        <f>SUM(CM14,-CM15)</f>
        <v>5</v>
      </c>
      <c r="CN35" s="5">
        <f>SUM(CN14,-CN15)</f>
        <v>5</v>
      </c>
      <c r="CO35" s="5">
        <f>SUM(CO14,-CO15)</f>
        <v>4</v>
      </c>
      <c r="CP35" s="5">
        <f>SUM(CP14,-CP15)</f>
        <v>4</v>
      </c>
      <c r="CQ35" s="5">
        <f>SUM(CQ14,-CQ15)</f>
        <v>4</v>
      </c>
      <c r="CR35" s="5">
        <f>SUM(CR14,-CR15)</f>
        <v>2</v>
      </c>
      <c r="CS35" s="5">
        <f>SUM(CS14,-CS15)</f>
        <v>1</v>
      </c>
      <c r="CT35" s="5">
        <f>SUM(CT14,-CT15)</f>
        <v>2</v>
      </c>
      <c r="CU35" s="5">
        <f>SUM(CU14,-CU15)</f>
        <v>3</v>
      </c>
      <c r="CV35" s="5">
        <f>SUM(CV14,-CV15)</f>
        <v>3</v>
      </c>
      <c r="CW35" s="4">
        <f>SUM(CW14,-CW15)</f>
        <v>3.3043478260869676</v>
      </c>
      <c r="CX35" s="4">
        <f t="shared" si="10"/>
        <v>1.2945614423669667</v>
      </c>
      <c r="CY35" s="4">
        <f t="shared" si="11"/>
        <v>23</v>
      </c>
      <c r="CZ35" s="4">
        <f t="shared" si="12"/>
        <v>0.26993472061602963</v>
      </c>
      <c r="DA35" s="5">
        <f>SUM(DA14,-DA15)</f>
        <v>3</v>
      </c>
      <c r="DB35" s="5">
        <f>SUM(DB14,-DB15)</f>
        <v>3</v>
      </c>
      <c r="DC35" s="5">
        <f>SUM(DC14,-DC15)</f>
        <v>3</v>
      </c>
      <c r="DD35" s="5">
        <f>SUM(DD14,-DD15)</f>
        <v>3</v>
      </c>
      <c r="DE35" s="5">
        <f>SUM(DE14,-DE15)</f>
        <v>5</v>
      </c>
      <c r="DF35" s="5">
        <f>SUM(DF14,-DF15)</f>
        <v>5</v>
      </c>
      <c r="DG35" s="5">
        <f>SUM(DG14,-DG15)</f>
        <v>5</v>
      </c>
      <c r="DH35" s="5">
        <f>SUM(DH14,-DH15)</f>
        <v>5</v>
      </c>
      <c r="DI35" s="5">
        <f>SUM(DI14,-DI15)</f>
        <v>6</v>
      </c>
      <c r="DJ35" s="5">
        <f>SUM(DJ14,-DJ15)</f>
        <v>7</v>
      </c>
      <c r="DK35" s="5">
        <f>SUM(DK14,-DK15)</f>
        <v>3</v>
      </c>
      <c r="DL35" s="5">
        <f>SUM(DL14,-DL15)</f>
        <v>6</v>
      </c>
      <c r="DM35" s="5">
        <f>SUM(DM14,-DM15)</f>
        <v>3</v>
      </c>
      <c r="DN35" s="5">
        <f>SUM(DN14,-DN15)</f>
        <v>5</v>
      </c>
      <c r="DO35" s="5">
        <f>SUM(DO14,-DO15)</f>
        <v>4</v>
      </c>
      <c r="DP35" s="5">
        <f>SUM(DP14,-DP15)</f>
        <v>6</v>
      </c>
      <c r="DQ35" s="5">
        <f>SUM(DQ14,-DQ15)</f>
        <v>6</v>
      </c>
      <c r="DR35" s="5">
        <f>SUM(DR14,-DR15)</f>
        <v>6</v>
      </c>
      <c r="DS35" s="5">
        <f>SUM(DS14,-DS15)</f>
        <v>6</v>
      </c>
      <c r="DT35" s="5">
        <f>SUM(DT14,-DT15)</f>
        <v>2</v>
      </c>
      <c r="DU35" s="5">
        <f>SUM(DU14,-DU15)</f>
        <v>8</v>
      </c>
      <c r="DV35" s="5">
        <f>SUM(DV14,-DV15)</f>
        <v>7</v>
      </c>
      <c r="DW35" s="4">
        <f>SUM(DW14,-DW15)</f>
        <v>4.863636363636374</v>
      </c>
      <c r="DX35" s="4">
        <f t="shared" si="13"/>
        <v>1.6415861825701372</v>
      </c>
      <c r="DY35" s="4">
        <f t="shared" si="14"/>
        <v>22</v>
      </c>
      <c r="DZ35" s="4">
        <f t="shared" si="15"/>
        <v>0.34998735008342513</v>
      </c>
    </row>
    <row r="36" spans="1:130" s="5" customFormat="1" x14ac:dyDescent="0.25">
      <c r="A36" s="1" t="s">
        <v>133</v>
      </c>
      <c r="B36" s="5">
        <f>B34*B35</f>
        <v>29</v>
      </c>
      <c r="C36" s="5">
        <f>C34*C35</f>
        <v>0</v>
      </c>
      <c r="D36" s="5">
        <f>D34*D35</f>
        <v>0</v>
      </c>
      <c r="E36" s="5">
        <f>E34*E35</f>
        <v>29</v>
      </c>
      <c r="F36" s="5">
        <f>F34*F35</f>
        <v>0</v>
      </c>
      <c r="G36" s="5">
        <f>G34*G35</f>
        <v>0</v>
      </c>
      <c r="H36" s="5">
        <f>H34*H35</f>
        <v>0</v>
      </c>
      <c r="I36" s="5">
        <f>I34*I35</f>
        <v>0</v>
      </c>
      <c r="J36" s="5">
        <f>J34*J35</f>
        <v>0</v>
      </c>
      <c r="K36" s="5">
        <f>K34*K35</f>
        <v>-44</v>
      </c>
      <c r="L36" s="5">
        <f>L34*L35</f>
        <v>-48</v>
      </c>
      <c r="M36" s="5">
        <f>M34*M35</f>
        <v>-72</v>
      </c>
      <c r="N36" s="5">
        <f>N34*N35</f>
        <v>-44</v>
      </c>
      <c r="O36" s="5">
        <f>O34*O35</f>
        <v>-66</v>
      </c>
      <c r="P36" s="5">
        <f>P34*P35</f>
        <v>-46</v>
      </c>
      <c r="Q36" s="5">
        <f>Q34*Q35</f>
        <v>-46</v>
      </c>
      <c r="R36" s="5">
        <f>R34*R35</f>
        <v>-46</v>
      </c>
      <c r="S36" s="5">
        <f>S34*S35</f>
        <v>-48</v>
      </c>
      <c r="T36" s="5">
        <f>T34*T35</f>
        <v>0</v>
      </c>
      <c r="U36" s="5">
        <f>U34*U35</f>
        <v>31</v>
      </c>
      <c r="V36" s="5">
        <f>V34*V35</f>
        <v>0</v>
      </c>
      <c r="W36" s="5">
        <f>W34*W35</f>
        <v>-75</v>
      </c>
      <c r="X36" s="5">
        <f>X34*X35</f>
        <v>-78</v>
      </c>
      <c r="Y36" s="5">
        <f>Y34*Y35</f>
        <v>-27</v>
      </c>
      <c r="Z36" s="4">
        <f>Z34*Z35</f>
        <v>-26.208333333333343</v>
      </c>
      <c r="AA36" s="4">
        <f>_xlfn.STDEV.S(B36:Y36)</f>
        <v>34.13461734733928</v>
      </c>
      <c r="AB36" s="4">
        <f t="shared" si="17"/>
        <v>24</v>
      </c>
      <c r="AC36" s="4">
        <f t="shared" si="4"/>
        <v>6.9676995888446926</v>
      </c>
      <c r="AD36" s="5">
        <f>AD34*AD35</f>
        <v>35</v>
      </c>
      <c r="AE36" s="5">
        <f>AE34*AE35</f>
        <v>105</v>
      </c>
      <c r="AF36" s="5">
        <f>AF34*AF35</f>
        <v>68</v>
      </c>
      <c r="AG36" s="5">
        <f>AG34*AG35</f>
        <v>111</v>
      </c>
      <c r="AH36" s="5">
        <f>AH34*AH35</f>
        <v>70</v>
      </c>
      <c r="AI36" s="5">
        <f>AI34*AI35</f>
        <v>72</v>
      </c>
      <c r="AJ36" s="5">
        <f>AJ34*AJ35</f>
        <v>105</v>
      </c>
      <c r="AK36" s="5">
        <f>AK34*AK35</f>
        <v>72</v>
      </c>
      <c r="AL36" s="5">
        <f>AL34*AL35</f>
        <v>70</v>
      </c>
      <c r="AM36" s="5">
        <f>AM34*AM35</f>
        <v>96</v>
      </c>
      <c r="AN36" s="5">
        <f>AN34*AN35</f>
        <v>93</v>
      </c>
      <c r="AO36" s="5">
        <f>AO34*AO35</f>
        <v>30</v>
      </c>
      <c r="AP36" s="5">
        <f>AP34*AP35</f>
        <v>128</v>
      </c>
      <c r="AQ36" s="5">
        <f>AQ34*AQ35</f>
        <v>93</v>
      </c>
      <c r="AR36" s="5">
        <f>AR34*AR35</f>
        <v>72</v>
      </c>
      <c r="AS36" s="5">
        <f>AS34*AS35</f>
        <v>58</v>
      </c>
      <c r="AT36" s="5">
        <f>AT34*AT35</f>
        <v>132</v>
      </c>
      <c r="AU36" s="5">
        <f>AU34*AU35</f>
        <v>60</v>
      </c>
      <c r="AV36" s="5">
        <f>AV34*AV35</f>
        <v>120</v>
      </c>
      <c r="AW36" s="4">
        <f>AW34*AW35</f>
        <v>84.033240997229456</v>
      </c>
      <c r="AX36" s="4">
        <f t="shared" si="5"/>
        <v>28.963679615030014</v>
      </c>
      <c r="AY36" s="4">
        <f t="shared" si="6"/>
        <v>19</v>
      </c>
      <c r="AZ36" s="4">
        <f t="shared" si="7"/>
        <v>6.6447238144739398</v>
      </c>
      <c r="BA36" s="5">
        <f>BA34*BA35</f>
        <v>74</v>
      </c>
      <c r="BB36" s="5">
        <f>BB34*BB35</f>
        <v>108</v>
      </c>
      <c r="BC36" s="5">
        <f>BC34*BC35</f>
        <v>72</v>
      </c>
      <c r="BD36" s="5">
        <f>BD34*BD35</f>
        <v>108</v>
      </c>
      <c r="BE36" s="5">
        <f>BE34*BE35</f>
        <v>108</v>
      </c>
      <c r="BF36" s="5">
        <f>BF34*BF35</f>
        <v>108</v>
      </c>
      <c r="BG36" s="5">
        <f>BG34*BG35</f>
        <v>76</v>
      </c>
      <c r="BH36" s="5">
        <f>BH34*BH35</f>
        <v>117</v>
      </c>
      <c r="BI36" s="5">
        <f>BI34*BI35</f>
        <v>80</v>
      </c>
      <c r="BJ36" s="5">
        <f>BJ34*BJ35</f>
        <v>126</v>
      </c>
      <c r="BK36" s="5">
        <f>BK34*BK35</f>
        <v>70</v>
      </c>
      <c r="BL36" s="5">
        <f>BL34*BL35</f>
        <v>70</v>
      </c>
      <c r="BM36" s="5">
        <f>BM34*BM35</f>
        <v>70</v>
      </c>
      <c r="BN36" s="5">
        <f>BN34*BN35</f>
        <v>72</v>
      </c>
      <c r="BO36" s="5">
        <f>BO34*BO35</f>
        <v>-34</v>
      </c>
      <c r="BP36" s="5">
        <f>BP34*BP35</f>
        <v>72</v>
      </c>
      <c r="BQ36" s="5">
        <f>BQ34*BQ35</f>
        <v>102</v>
      </c>
      <c r="BR36" s="5">
        <f>BR34*BR35</f>
        <v>105</v>
      </c>
      <c r="BS36" s="5">
        <f>BS34*BS35</f>
        <v>108</v>
      </c>
      <c r="BT36" s="5">
        <f>BT34*BT35</f>
        <v>111</v>
      </c>
      <c r="BU36" s="5">
        <f>BU34*BU35</f>
        <v>111</v>
      </c>
      <c r="BV36" s="4">
        <f>BV34*BV35</f>
        <v>86.848072562358212</v>
      </c>
      <c r="BW36" s="4">
        <f t="shared" si="16"/>
        <v>33.798422053896729</v>
      </c>
      <c r="BX36" s="4">
        <f t="shared" si="8"/>
        <v>21</v>
      </c>
      <c r="BY36" s="4">
        <f t="shared" si="9"/>
        <v>7.3754203539069811</v>
      </c>
      <c r="BZ36" s="5">
        <f>BZ34*BZ35</f>
        <v>82</v>
      </c>
      <c r="CA36" s="5">
        <f>CA34*CA35</f>
        <v>82</v>
      </c>
      <c r="CB36" s="5">
        <f>CB34*CB35</f>
        <v>84</v>
      </c>
      <c r="CC36" s="5">
        <f>CC34*CC35</f>
        <v>215</v>
      </c>
      <c r="CD36" s="5">
        <f>CD34*CD35</f>
        <v>215</v>
      </c>
      <c r="CE36" s="5">
        <f>CE34*CE35</f>
        <v>215</v>
      </c>
      <c r="CF36" s="5">
        <f>CF34*CF35</f>
        <v>126</v>
      </c>
      <c r="CG36" s="5">
        <f>CG34*CG35</f>
        <v>172</v>
      </c>
      <c r="CH36" s="5">
        <f>CH34*CH35</f>
        <v>126</v>
      </c>
      <c r="CI36" s="5">
        <f>CI34*CI35</f>
        <v>126</v>
      </c>
      <c r="CJ36" s="5">
        <f>CJ34*CJ35</f>
        <v>84</v>
      </c>
      <c r="CK36" s="5">
        <f>CK34*CK35</f>
        <v>84</v>
      </c>
      <c r="CL36" s="5">
        <f>CL34*CL35</f>
        <v>215</v>
      </c>
      <c r="CM36" s="5">
        <f>CM34*CM35</f>
        <v>210</v>
      </c>
      <c r="CN36" s="5">
        <f>CN34*CN35</f>
        <v>210</v>
      </c>
      <c r="CO36" s="5">
        <f>CO34*CO35</f>
        <v>168</v>
      </c>
      <c r="CP36" s="5">
        <f>CP34*CP35</f>
        <v>172</v>
      </c>
      <c r="CQ36" s="5">
        <f>CQ34*CQ35</f>
        <v>172</v>
      </c>
      <c r="CR36" s="5">
        <f>CR34*CR35</f>
        <v>76</v>
      </c>
      <c r="CS36" s="5">
        <f>CS34*CS35</f>
        <v>36</v>
      </c>
      <c r="CT36" s="5">
        <f>CT34*CT35</f>
        <v>72</v>
      </c>
      <c r="CU36" s="5">
        <f>CU34*CU35</f>
        <v>111</v>
      </c>
      <c r="CV36" s="5">
        <f>CV34*CV35</f>
        <v>108</v>
      </c>
      <c r="CW36" s="4">
        <f>CW34*CW35</f>
        <v>135.62192816635209</v>
      </c>
      <c r="CX36" s="4">
        <f t="shared" si="10"/>
        <v>58.047649773860563</v>
      </c>
      <c r="CY36" s="4">
        <f t="shared" si="11"/>
        <v>23</v>
      </c>
      <c r="CZ36" s="4">
        <f t="shared" si="12"/>
        <v>12.103771679986824</v>
      </c>
      <c r="DA36" s="5">
        <f>DA34*DA35</f>
        <v>120</v>
      </c>
      <c r="DB36" s="5">
        <f>DB34*DB35</f>
        <v>120</v>
      </c>
      <c r="DC36" s="5">
        <f>DC34*DC35</f>
        <v>120</v>
      </c>
      <c r="DD36" s="5">
        <f>DD34*DD35</f>
        <v>120</v>
      </c>
      <c r="DE36" s="5">
        <f>DE34*DE35</f>
        <v>215</v>
      </c>
      <c r="DF36" s="5">
        <f>DF34*DF35</f>
        <v>210</v>
      </c>
      <c r="DG36" s="5">
        <f>DG34*DG35</f>
        <v>210</v>
      </c>
      <c r="DH36" s="5">
        <f>DH34*DH35</f>
        <v>220</v>
      </c>
      <c r="DI36" s="5">
        <f>DI34*DI35</f>
        <v>270</v>
      </c>
      <c r="DJ36" s="5">
        <f>DJ34*DJ35</f>
        <v>315</v>
      </c>
      <c r="DK36" s="5">
        <f>DK34*DK35</f>
        <v>120</v>
      </c>
      <c r="DL36" s="5">
        <f>DL34*DL35</f>
        <v>258</v>
      </c>
      <c r="DM36" s="5">
        <f>DM34*DM35</f>
        <v>123</v>
      </c>
      <c r="DN36" s="5">
        <f>DN34*DN35</f>
        <v>215</v>
      </c>
      <c r="DO36" s="5">
        <f>DO34*DO35</f>
        <v>168</v>
      </c>
      <c r="DP36" s="5">
        <f>DP34*DP35</f>
        <v>270</v>
      </c>
      <c r="DQ36" s="5">
        <f>DQ34*DQ35</f>
        <v>264</v>
      </c>
      <c r="DR36" s="5">
        <f>DR34*DR35</f>
        <v>264</v>
      </c>
      <c r="DS36" s="5">
        <f>DS34*DS35</f>
        <v>264</v>
      </c>
      <c r="DT36" s="5">
        <f>DT34*DT35</f>
        <v>74</v>
      </c>
      <c r="DU36" s="5">
        <f>DU34*DU35</f>
        <v>352</v>
      </c>
      <c r="DV36" s="5">
        <f>DV34*DV35</f>
        <v>315</v>
      </c>
      <c r="DW36" s="4">
        <f>DW34*DW35</f>
        <v>206.26239669421537</v>
      </c>
      <c r="DX36" s="4">
        <f t="shared" si="13"/>
        <v>78.357337208281251</v>
      </c>
      <c r="DY36" s="4">
        <f t="shared" si="14"/>
        <v>22</v>
      </c>
      <c r="DZ36" s="4">
        <f t="shared" si="15"/>
        <v>16.705840424523689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2018-05-09T23:23:32Z</dcterms:created>
  <dcterms:modified xsi:type="dcterms:W3CDTF">2018-05-15T19:28:35Z</dcterms:modified>
</cp:coreProperties>
</file>