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C51C6068-79C4-494D-BE62-D3A33505B791}" xr6:coauthVersionLast="32" xr6:coauthVersionMax="32" xr10:uidLastSave="{00000000-0000-0000-0000-000000000000}"/>
  <bookViews>
    <workbookView xWindow="0" yWindow="0" windowWidth="20490" windowHeight="8130" xr2:uid="{9E0DB5A2-57C5-4765-8F8A-709C84A140A2}"/>
  </bookViews>
  <sheets>
    <sheet name="Planilha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S35" i="1" l="1"/>
  <c r="CR35" i="1"/>
  <c r="CQ35" i="1"/>
  <c r="CP35" i="1"/>
  <c r="CS34" i="1"/>
  <c r="CS36" i="1" s="1"/>
  <c r="CR34" i="1"/>
  <c r="CR36" i="1" s="1"/>
  <c r="CQ34" i="1"/>
  <c r="CQ36" i="1" s="1"/>
  <c r="CP34" i="1"/>
  <c r="CP36" i="1" s="1"/>
  <c r="CO35" i="1"/>
  <c r="CN35" i="1"/>
  <c r="CO34" i="1"/>
  <c r="CO36" i="1" s="1"/>
  <c r="CN34" i="1"/>
  <c r="CN36" i="1" s="1"/>
  <c r="CM35" i="1"/>
  <c r="CL35" i="1"/>
  <c r="CK35" i="1"/>
  <c r="CJ35" i="1"/>
  <c r="CM34" i="1"/>
  <c r="CM36" i="1" s="1"/>
  <c r="CL34" i="1"/>
  <c r="CL36" i="1" s="1"/>
  <c r="CK34" i="1"/>
  <c r="CK36" i="1" s="1"/>
  <c r="CJ34" i="1"/>
  <c r="CJ36" i="1" s="1"/>
  <c r="CI35" i="1"/>
  <c r="CH35" i="1"/>
  <c r="CG35" i="1"/>
  <c r="CF35" i="1"/>
  <c r="CI34" i="1"/>
  <c r="CI36" i="1" s="1"/>
  <c r="CH34" i="1"/>
  <c r="CH36" i="1" s="1"/>
  <c r="CG34" i="1"/>
  <c r="CG36" i="1" s="1"/>
  <c r="CF34" i="1"/>
  <c r="CF36" i="1" s="1"/>
  <c r="CE35" i="1"/>
  <c r="CD35" i="1"/>
  <c r="CC35" i="1"/>
  <c r="CB35" i="1"/>
  <c r="CE34" i="1"/>
  <c r="CE36" i="1" s="1"/>
  <c r="CD34" i="1"/>
  <c r="CD36" i="1" s="1"/>
  <c r="CC34" i="1"/>
  <c r="CC36" i="1" s="1"/>
  <c r="CB34" i="1"/>
  <c r="CB36" i="1" s="1"/>
  <c r="BZ35" i="1"/>
  <c r="BY35" i="1"/>
  <c r="BX35" i="1"/>
  <c r="BW35" i="1"/>
  <c r="BZ34" i="1"/>
  <c r="BZ36" i="1" s="1"/>
  <c r="BY34" i="1"/>
  <c r="BY36" i="1" s="1"/>
  <c r="BX34" i="1"/>
  <c r="BX36" i="1" s="1"/>
  <c r="BW34" i="1"/>
  <c r="BW36" i="1" s="1"/>
  <c r="BV35" i="1"/>
  <c r="BU35" i="1"/>
  <c r="BT35" i="1"/>
  <c r="BS35" i="1"/>
  <c r="BV34" i="1"/>
  <c r="BV36" i="1" s="1"/>
  <c r="BU34" i="1"/>
  <c r="BU36" i="1" s="1"/>
  <c r="BT34" i="1"/>
  <c r="BT36" i="1" s="1"/>
  <c r="BS34" i="1"/>
  <c r="BS36" i="1" s="1"/>
  <c r="BR35" i="1"/>
  <c r="BQ35" i="1"/>
  <c r="BP35" i="1"/>
  <c r="BO35" i="1"/>
  <c r="BR34" i="1"/>
  <c r="BR36" i="1" s="1"/>
  <c r="BQ34" i="1"/>
  <c r="BQ36" i="1" s="1"/>
  <c r="BP34" i="1"/>
  <c r="BP36" i="1" s="1"/>
  <c r="BO34" i="1"/>
  <c r="BO36" i="1" s="1"/>
  <c r="BN35" i="1"/>
  <c r="BM35" i="1"/>
  <c r="BL35" i="1"/>
  <c r="BK35" i="1"/>
  <c r="BN34" i="1"/>
  <c r="BN36" i="1" s="1"/>
  <c r="BM34" i="1"/>
  <c r="BM36" i="1" s="1"/>
  <c r="BL34" i="1"/>
  <c r="BL36" i="1" s="1"/>
  <c r="BK34" i="1"/>
  <c r="BK36" i="1" s="1"/>
  <c r="BJ35" i="1"/>
  <c r="BI35" i="1"/>
  <c r="BH35" i="1"/>
  <c r="BG35" i="1"/>
  <c r="BJ34" i="1"/>
  <c r="BJ36" i="1" s="1"/>
  <c r="BI34" i="1"/>
  <c r="BI36" i="1" s="1"/>
  <c r="BH34" i="1"/>
  <c r="BH36" i="1" s="1"/>
  <c r="BG34" i="1"/>
  <c r="BG36" i="1" s="1"/>
  <c r="BE35" i="1"/>
  <c r="BD35" i="1"/>
  <c r="BC35" i="1"/>
  <c r="BB35" i="1"/>
  <c r="BE34" i="1"/>
  <c r="BE36" i="1" s="1"/>
  <c r="BD34" i="1"/>
  <c r="BD36" i="1" s="1"/>
  <c r="BC34" i="1"/>
  <c r="BC36" i="1" s="1"/>
  <c r="BB34" i="1"/>
  <c r="BB36" i="1" s="1"/>
  <c r="BA35" i="1"/>
  <c r="AZ35" i="1"/>
  <c r="AY35" i="1"/>
  <c r="AX35" i="1"/>
  <c r="BA34" i="1"/>
  <c r="BA36" i="1" s="1"/>
  <c r="AZ34" i="1"/>
  <c r="AZ36" i="1" s="1"/>
  <c r="AY34" i="1"/>
  <c r="AY36" i="1" s="1"/>
  <c r="AX34" i="1"/>
  <c r="AX36" i="1" s="1"/>
  <c r="AW35" i="1"/>
  <c r="AV35" i="1"/>
  <c r="AU35" i="1"/>
  <c r="AT35" i="1"/>
  <c r="AW34" i="1"/>
  <c r="AW36" i="1" s="1"/>
  <c r="AV34" i="1"/>
  <c r="AV36" i="1" s="1"/>
  <c r="AU34" i="1"/>
  <c r="AU36" i="1" s="1"/>
  <c r="AT34" i="1"/>
  <c r="AT36" i="1" s="1"/>
  <c r="AS35" i="1"/>
  <c r="AR35" i="1"/>
  <c r="AQ35" i="1"/>
  <c r="AP35" i="1"/>
  <c r="AS34" i="1"/>
  <c r="AS36" i="1" s="1"/>
  <c r="AR34" i="1"/>
  <c r="AR36" i="1" s="1"/>
  <c r="AQ34" i="1"/>
  <c r="AQ36" i="1" s="1"/>
  <c r="AP34" i="1"/>
  <c r="AP36" i="1" s="1"/>
  <c r="AO35" i="1"/>
  <c r="AN35" i="1"/>
  <c r="AM35" i="1"/>
  <c r="AL35" i="1"/>
  <c r="AO34" i="1"/>
  <c r="AO36" i="1" s="1"/>
  <c r="AN34" i="1"/>
  <c r="AN36" i="1" s="1"/>
  <c r="AM34" i="1"/>
  <c r="AM36" i="1" s="1"/>
  <c r="AL34" i="1"/>
  <c r="AL36" i="1" s="1"/>
  <c r="AJ35" i="1"/>
  <c r="AI35" i="1"/>
  <c r="AH35" i="1"/>
  <c r="AG35" i="1"/>
  <c r="AJ34" i="1"/>
  <c r="AJ36" i="1" s="1"/>
  <c r="AI34" i="1"/>
  <c r="AI36" i="1" s="1"/>
  <c r="AH34" i="1"/>
  <c r="AH36" i="1" s="1"/>
  <c r="AG34" i="1"/>
  <c r="AG36" i="1" s="1"/>
  <c r="AF35" i="1"/>
  <c r="AE35" i="1"/>
  <c r="AF34" i="1"/>
  <c r="AF36" i="1" s="1"/>
  <c r="AE34" i="1"/>
  <c r="AE36" i="1" s="1"/>
  <c r="AD35" i="1"/>
  <c r="AC35" i="1"/>
  <c r="AB35" i="1"/>
  <c r="AA35" i="1"/>
  <c r="AD34" i="1"/>
  <c r="AD36" i="1" s="1"/>
  <c r="AC34" i="1"/>
  <c r="AC36" i="1" s="1"/>
  <c r="AB34" i="1"/>
  <c r="AB36" i="1" s="1"/>
  <c r="AA34" i="1"/>
  <c r="AA36" i="1" s="1"/>
  <c r="Z35" i="1"/>
  <c r="Y35" i="1"/>
  <c r="X35" i="1"/>
  <c r="W35" i="1"/>
  <c r="Z34" i="1"/>
  <c r="Z36" i="1" s="1"/>
  <c r="Y34" i="1"/>
  <c r="Y36" i="1" s="1"/>
  <c r="X34" i="1"/>
  <c r="X36" i="1" s="1"/>
  <c r="W34" i="1"/>
  <c r="W36" i="1" s="1"/>
  <c r="AK34" i="1"/>
  <c r="AK35" i="1"/>
  <c r="AK36" i="1"/>
  <c r="U35" i="1"/>
  <c r="U34" i="1"/>
  <c r="U36" i="1" s="1"/>
  <c r="CT35" i="1"/>
  <c r="CT34" i="1"/>
  <c r="CT36" i="1" s="1"/>
  <c r="CA35" i="1"/>
  <c r="CA34" i="1"/>
  <c r="CA36" i="1" s="1"/>
  <c r="BF35" i="1"/>
  <c r="BF34" i="1"/>
  <c r="BF36" i="1" s="1"/>
  <c r="V35" i="1"/>
  <c r="V34" i="1"/>
  <c r="V36" i="1" s="1"/>
  <c r="T36" i="1"/>
  <c r="Q36" i="1"/>
  <c r="P36" i="1"/>
  <c r="M36" i="1"/>
  <c r="L36" i="1"/>
  <c r="I36" i="1"/>
  <c r="H36" i="1"/>
  <c r="E36" i="1"/>
  <c r="D36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T34" i="1"/>
  <c r="S34" i="1"/>
  <c r="S36" i="1" s="1"/>
  <c r="R34" i="1"/>
  <c r="R36" i="1" s="1"/>
  <c r="Q34" i="1"/>
  <c r="P34" i="1"/>
  <c r="O34" i="1"/>
  <c r="O36" i="1" s="1"/>
  <c r="N34" i="1"/>
  <c r="N36" i="1" s="1"/>
  <c r="M34" i="1"/>
  <c r="L34" i="1"/>
  <c r="K34" i="1"/>
  <c r="K36" i="1" s="1"/>
  <c r="J34" i="1"/>
  <c r="J36" i="1" s="1"/>
  <c r="I34" i="1"/>
  <c r="H34" i="1"/>
  <c r="G34" i="1"/>
  <c r="G36" i="1" s="1"/>
  <c r="F34" i="1"/>
  <c r="F36" i="1" s="1"/>
  <c r="E34" i="1"/>
  <c r="D34" i="1"/>
  <c r="C34" i="1"/>
  <c r="C36" i="1" s="1"/>
  <c r="B34" i="1"/>
  <c r="B36" i="1" s="1"/>
  <c r="CT33" i="1" l="1"/>
  <c r="CT32" i="1"/>
  <c r="CT31" i="1"/>
  <c r="CT30" i="1"/>
  <c r="CT29" i="1"/>
  <c r="CT28" i="1"/>
  <c r="CT27" i="1"/>
  <c r="CT26" i="1"/>
  <c r="CT25" i="1"/>
  <c r="CT24" i="1"/>
  <c r="CT23" i="1"/>
  <c r="CT22" i="1"/>
  <c r="CT21" i="1"/>
  <c r="CT20" i="1"/>
  <c r="CT19" i="1"/>
  <c r="CT18" i="1"/>
  <c r="CT17" i="1"/>
  <c r="CT16" i="1"/>
  <c r="CT15" i="1"/>
  <c r="CT14" i="1"/>
  <c r="CT13" i="1"/>
  <c r="CT12" i="1"/>
  <c r="CT11" i="1"/>
  <c r="CT10" i="1"/>
  <c r="CT9" i="1"/>
  <c r="CT8" i="1"/>
  <c r="CT7" i="1"/>
  <c r="CT6" i="1"/>
  <c r="CT5" i="1"/>
  <c r="CT4" i="1"/>
  <c r="CT3" i="1"/>
  <c r="CT2" i="1"/>
  <c r="CA33" i="1"/>
  <c r="CA32" i="1"/>
  <c r="CA31" i="1"/>
  <c r="CA30" i="1"/>
  <c r="CA29" i="1"/>
  <c r="CA28" i="1"/>
  <c r="CA27" i="1"/>
  <c r="CA26" i="1"/>
  <c r="CA25" i="1"/>
  <c r="CA24" i="1"/>
  <c r="CA23" i="1"/>
  <c r="CA22" i="1"/>
  <c r="CA21" i="1"/>
  <c r="CA20" i="1"/>
  <c r="CA19" i="1"/>
  <c r="CA18" i="1"/>
  <c r="CA17" i="1"/>
  <c r="CA16" i="1"/>
  <c r="CA15" i="1"/>
  <c r="CA14" i="1"/>
  <c r="CA13" i="1"/>
  <c r="CA12" i="1"/>
  <c r="CA11" i="1"/>
  <c r="CA10" i="1"/>
  <c r="CA9" i="1"/>
  <c r="CA8" i="1"/>
  <c r="CA7" i="1"/>
  <c r="CA6" i="1"/>
  <c r="CA5" i="1"/>
  <c r="CA4" i="1"/>
  <c r="CA3" i="1"/>
  <c r="CA2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F2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</calcChain>
</file>

<file path=xl/sharedStrings.xml><?xml version="1.0" encoding="utf-8"?>
<sst xmlns="http://schemas.openxmlformats.org/spreadsheetml/2006/main" count="132" uniqueCount="132">
  <si>
    <t>0mg 1</t>
  </si>
  <si>
    <t>0mg 2</t>
  </si>
  <si>
    <t>0mg 3</t>
  </si>
  <si>
    <t>0mg 4</t>
  </si>
  <si>
    <t>0mg 5</t>
  </si>
  <si>
    <t>0mg 6</t>
  </si>
  <si>
    <t>0mg 7</t>
  </si>
  <si>
    <t>0mg 8</t>
  </si>
  <si>
    <t>0mg 9</t>
  </si>
  <si>
    <t>0mg 10</t>
  </si>
  <si>
    <t>0mg 11</t>
  </si>
  <si>
    <t>0mg 12</t>
  </si>
  <si>
    <t>0mg 13</t>
  </si>
  <si>
    <t>0mg 14</t>
  </si>
  <si>
    <t>0mg 15</t>
  </si>
  <si>
    <t>0mg 16</t>
  </si>
  <si>
    <t>0mg 17</t>
  </si>
  <si>
    <t>0mg 18</t>
  </si>
  <si>
    <t>0mg 19</t>
  </si>
  <si>
    <t>0mg 20</t>
  </si>
  <si>
    <t>1mg 1</t>
  </si>
  <si>
    <t>1mg 2</t>
  </si>
  <si>
    <t>1mg 3</t>
  </si>
  <si>
    <t>1mg 4</t>
  </si>
  <si>
    <t>1mg 5</t>
  </si>
  <si>
    <t>1mg 6</t>
  </si>
  <si>
    <t>1mg 7</t>
  </si>
  <si>
    <t>1mg 8</t>
  </si>
  <si>
    <t>1mg 9</t>
  </si>
  <si>
    <t>1mg 10</t>
  </si>
  <si>
    <t>1mg 11</t>
  </si>
  <si>
    <t>1mg 12</t>
  </si>
  <si>
    <t>1mg 13</t>
  </si>
  <si>
    <t>1mg 14</t>
  </si>
  <si>
    <t>2,5mg 1</t>
  </si>
  <si>
    <t>2,5mg 2</t>
  </si>
  <si>
    <t>2,5mg 3</t>
  </si>
  <si>
    <t>2,5mg 4</t>
  </si>
  <si>
    <t>2,5mg 5</t>
  </si>
  <si>
    <t>2,5mg 6</t>
  </si>
  <si>
    <t>2,5mg 7</t>
  </si>
  <si>
    <t>2,5mg 8</t>
  </si>
  <si>
    <t>2,5mg 9</t>
  </si>
  <si>
    <t>2,5mg 10</t>
  </si>
  <si>
    <t>2,5mg 11</t>
  </si>
  <si>
    <t>2,5mg 12</t>
  </si>
  <si>
    <t>2,5mg 13</t>
  </si>
  <si>
    <t>2,5mg 14</t>
  </si>
  <si>
    <t>2,5mg 15</t>
  </si>
  <si>
    <t>2,5mg 16</t>
  </si>
  <si>
    <t>2,5mg 17</t>
  </si>
  <si>
    <t>2,5mg 18</t>
  </si>
  <si>
    <t>2,5mg 19</t>
  </si>
  <si>
    <t>2,5mg 20</t>
  </si>
  <si>
    <t>4mg 1</t>
  </si>
  <si>
    <t>4mg 2</t>
  </si>
  <si>
    <t>4mg 3</t>
  </si>
  <si>
    <t>4mg 4</t>
  </si>
  <si>
    <t>4mg 5</t>
  </si>
  <si>
    <t>4mg 6</t>
  </si>
  <si>
    <t>4mg 7</t>
  </si>
  <si>
    <t>4mg 8</t>
  </si>
  <si>
    <t>4mg 9</t>
  </si>
  <si>
    <t>4mg 10</t>
  </si>
  <si>
    <t>4mg 11</t>
  </si>
  <si>
    <t>4mg 12</t>
  </si>
  <si>
    <t>4mg 13</t>
  </si>
  <si>
    <t>4mg 14</t>
  </si>
  <si>
    <t>4mg 15</t>
  </si>
  <si>
    <t>4mg 16</t>
  </si>
  <si>
    <t>4mg 17</t>
  </si>
  <si>
    <t>4mg 18</t>
  </si>
  <si>
    <t>4mg 19</t>
  </si>
  <si>
    <t>4mg 20</t>
  </si>
  <si>
    <t>5mg 1</t>
  </si>
  <si>
    <t>5mg 2</t>
  </si>
  <si>
    <t>5mg 3</t>
  </si>
  <si>
    <t>5mg 4</t>
  </si>
  <si>
    <t>5mg 5</t>
  </si>
  <si>
    <t>5mg 6</t>
  </si>
  <si>
    <t>5mg 7</t>
  </si>
  <si>
    <t>5mg 8</t>
  </si>
  <si>
    <t>5mg 9</t>
  </si>
  <si>
    <t>5mg 10</t>
  </si>
  <si>
    <t>5mg 11</t>
  </si>
  <si>
    <t>5mg 12</t>
  </si>
  <si>
    <t>5mg 13</t>
  </si>
  <si>
    <t>5mg 14</t>
  </si>
  <si>
    <t>5mg 16</t>
  </si>
  <si>
    <t>5mg 17</t>
  </si>
  <si>
    <t>5mg 19</t>
  </si>
  <si>
    <t>Mediana Vermelho</t>
  </si>
  <si>
    <t>Mediana Verde</t>
  </si>
  <si>
    <t>Mediana Azul</t>
  </si>
  <si>
    <t>Media Vermelho</t>
  </si>
  <si>
    <t>Media Verde</t>
  </si>
  <si>
    <t>Media Azul</t>
  </si>
  <si>
    <t>Menor Vermelho</t>
  </si>
  <si>
    <t>Menor Verde</t>
  </si>
  <si>
    <t>Menor Azul</t>
  </si>
  <si>
    <t>Maior Vermelho</t>
  </si>
  <si>
    <t>Maior Verde</t>
  </si>
  <si>
    <t>Maior Azul</t>
  </si>
  <si>
    <t>Maximo Vermelho</t>
  </si>
  <si>
    <t>Maximo Verde</t>
  </si>
  <si>
    <t>Maximo Azul</t>
  </si>
  <si>
    <t>Luma</t>
  </si>
  <si>
    <t>Luma Precisa</t>
  </si>
  <si>
    <t>M(0mg)</t>
  </si>
  <si>
    <t>M(1mg)</t>
  </si>
  <si>
    <t>M(2,5mg)</t>
  </si>
  <si>
    <t>M(4mg)</t>
  </si>
  <si>
    <t>M(5mg)</t>
  </si>
  <si>
    <t>5mg 15</t>
  </si>
  <si>
    <t>MaximoVermelho-MaximoAzul</t>
  </si>
  <si>
    <t>MaximoVermelho-MaximoVerde</t>
  </si>
  <si>
    <t>(MaximoVermelho-MaximoVerde) * (MaximoVermelho-MaximoAzul</t>
  </si>
  <si>
    <t>Mediana Vermelho(Hue)</t>
  </si>
  <si>
    <t>Mediana Verde(Saturation)</t>
  </si>
  <si>
    <t>Mediana Azul(Lighting)</t>
  </si>
  <si>
    <t>Media Vermelho(Hue)</t>
  </si>
  <si>
    <t>Media Verde(Saturation)</t>
  </si>
  <si>
    <t>Media Azul(Lighting)</t>
  </si>
  <si>
    <t>Menor Vermelho(Hue)</t>
  </si>
  <si>
    <t>Menor Verde(Saturation)</t>
  </si>
  <si>
    <t>Menor Azul(Lighting)</t>
  </si>
  <si>
    <t>Maior Vermelho(Hue)</t>
  </si>
  <si>
    <t>Maior Verde(Saturation)</t>
  </si>
  <si>
    <t>Maior Azul(Lighting)</t>
  </si>
  <si>
    <t>Maximo Vermelho(Hue)</t>
  </si>
  <si>
    <t>Maximo Verde(Saturation)</t>
  </si>
  <si>
    <t>Maximo Azul(Lighting)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</si>
</sst>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0" fillId="0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Dia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(Planilha1!$V$34,Planilha1!$AK$34,Planilha1!$BF$34,Planilha1!$CA$34,Planilha1!$CT$34)</c:f>
              <c:numCache>
                <c:formatCode>General</c:formatCode>
                <c:ptCount val="5"/>
                <c:pt idx="0">
                  <c:v>22.150000000000006</c:v>
                </c:pt>
                <c:pt idx="1">
                  <c:v>26.071428571428584</c:v>
                </c:pt>
                <c:pt idx="2">
                  <c:v>33.100000000000009</c:v>
                </c:pt>
                <c:pt idx="3">
                  <c:v>40.200000000000017</c:v>
                </c:pt>
                <c:pt idx="4">
                  <c:v>52.277777777777771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4-4B52-89FE-F876AE06E7D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(Planilha1!$V$35,Planilha1!$AK$35,Planilha1!$BF$35,Planilha1!$CA$35,Planilha1!$CT$35)</c:f>
              <c:numCache>
                <c:formatCode>General</c:formatCode>
                <c:ptCount val="5"/>
                <c:pt idx="0">
                  <c:v>-2.0999999999999943</c:v>
                </c:pt>
                <c:pt idx="1">
                  <c:v>1.4285714285714448</c:v>
                </c:pt>
                <c:pt idx="2">
                  <c:v>3.7000000000000171</c:v>
                </c:pt>
                <c:pt idx="3">
                  <c:v>6.4500000000000171</c:v>
                </c:pt>
                <c:pt idx="4">
                  <c:v>9.8333333333333144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4-4B52-89FE-F876AE06E7D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(Planilha1!$V$36,Planilha1!$AK$36,Planilha1!$BF$36,Planilha1!$CA$36,Planilha1!$CT$36)</c:f>
              <c:numCache>
                <c:formatCode>General</c:formatCode>
                <c:ptCount val="5"/>
                <c:pt idx="0">
                  <c:v>-46.514999999999887</c:v>
                </c:pt>
                <c:pt idx="1">
                  <c:v>37.244897959184115</c:v>
                </c:pt>
                <c:pt idx="2">
                  <c:v>122.4700000000006</c:v>
                </c:pt>
                <c:pt idx="3">
                  <c:v>259.29000000000082</c:v>
                </c:pt>
                <c:pt idx="4">
                  <c:v>514.06481481481376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E4-4B52-89FE-F876AE06E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556784"/>
        <c:axId val="568557112"/>
      </c:lineChart>
      <c:catAx>
        <c:axId val="56855678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557112"/>
        <c:crosses val="autoZero"/>
        <c:auto val="1"/>
        <c:lblAlgn val="ctr"/>
        <c:lblOffset val="100"/>
        <c:noMultiLvlLbl val="0"/>
      </c:catAx>
      <c:valAx>
        <c:axId val="56855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5567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190499</xdr:rowOff>
    </xdr:from>
    <xdr:to>
      <xdr:col>16</xdr:col>
      <xdr:colOff>530678</xdr:colOff>
      <xdr:row>64</xdr:row>
      <xdr:rowOff>163286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0D06DC2-0685-4C08-BA96-0B443C3F9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3AA7E-CCD8-472B-A8DB-7BD71825B9A4}">
  <sheetPr codeName="Planilha1"/>
  <dimension ref="A1:CT36"/>
  <sheetViews>
    <sheetView tabSelected="1" topLeftCell="A14" zoomScale="70" zoomScaleNormal="70" workbookViewId="0">
      <selection activeCell="C39" sqref="C39"/>
    </sheetView>
  </sheetViews>
  <sheetFormatPr defaultRowHeight="15" x14ac:dyDescent="0.25"/>
  <cols>
    <col min="1" max="1" width="74.85546875" style="1" customWidth="1"/>
    <col min="22" max="22" width="9.140625" style="3"/>
    <col min="26" max="26" width="9.140625" style="5"/>
    <col min="37" max="37" width="9.140625" style="4"/>
    <col min="46" max="46" width="9.140625" style="5"/>
    <col min="58" max="58" width="9.140625" style="4"/>
    <col min="68" max="68" width="9.140625" style="5"/>
    <col min="79" max="79" width="9.140625" style="4"/>
    <col min="92" max="92" width="9.140625" style="5"/>
    <col min="98" max="98" width="9.140625" style="4"/>
  </cols>
  <sheetData>
    <row r="1" spans="1:98" s="2" customFormat="1" x14ac:dyDescent="0.25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3" t="s">
        <v>108</v>
      </c>
      <c r="W1" s="2" t="s">
        <v>20</v>
      </c>
      <c r="X1" s="2" t="s">
        <v>21</v>
      </c>
      <c r="Y1" s="2" t="s">
        <v>22</v>
      </c>
      <c r="Z1" s="6" t="s">
        <v>23</v>
      </c>
      <c r="AA1" s="2" t="s">
        <v>24</v>
      </c>
      <c r="AB1" s="2" t="s">
        <v>25</v>
      </c>
      <c r="AC1" s="2" t="s">
        <v>26</v>
      </c>
      <c r="AD1" s="2" t="s">
        <v>27</v>
      </c>
      <c r="AE1" s="2" t="s">
        <v>28</v>
      </c>
      <c r="AF1" s="2" t="s">
        <v>29</v>
      </c>
      <c r="AG1" s="2" t="s">
        <v>30</v>
      </c>
      <c r="AH1" s="2" t="s">
        <v>31</v>
      </c>
      <c r="AI1" s="2" t="s">
        <v>32</v>
      </c>
      <c r="AJ1" s="2" t="s">
        <v>33</v>
      </c>
      <c r="AK1" s="3" t="s">
        <v>109</v>
      </c>
      <c r="AL1" s="2" t="s">
        <v>34</v>
      </c>
      <c r="AM1" s="2" t="s">
        <v>35</v>
      </c>
      <c r="AN1" s="2" t="s">
        <v>36</v>
      </c>
      <c r="AO1" s="2" t="s">
        <v>37</v>
      </c>
      <c r="AP1" s="2" t="s">
        <v>38</v>
      </c>
      <c r="AQ1" s="2" t="s">
        <v>39</v>
      </c>
      <c r="AR1" s="2" t="s">
        <v>40</v>
      </c>
      <c r="AS1" s="2" t="s">
        <v>41</v>
      </c>
      <c r="AT1" s="6" t="s">
        <v>42</v>
      </c>
      <c r="AU1" s="2" t="s">
        <v>43</v>
      </c>
      <c r="AV1" s="2" t="s">
        <v>44</v>
      </c>
      <c r="AW1" s="2" t="s">
        <v>45</v>
      </c>
      <c r="AX1" s="2" t="s">
        <v>46</v>
      </c>
      <c r="AY1" s="2" t="s">
        <v>47</v>
      </c>
      <c r="AZ1" s="2" t="s">
        <v>48</v>
      </c>
      <c r="BA1" s="2" t="s">
        <v>49</v>
      </c>
      <c r="BB1" s="2" t="s">
        <v>50</v>
      </c>
      <c r="BC1" s="2" t="s">
        <v>51</v>
      </c>
      <c r="BD1" s="2" t="s">
        <v>52</v>
      </c>
      <c r="BE1" s="2" t="s">
        <v>53</v>
      </c>
      <c r="BF1" s="3" t="s">
        <v>110</v>
      </c>
      <c r="BG1" s="2" t="s">
        <v>54</v>
      </c>
      <c r="BH1" s="2" t="s">
        <v>55</v>
      </c>
      <c r="BI1" s="2" t="s">
        <v>56</v>
      </c>
      <c r="BJ1" s="2" t="s">
        <v>57</v>
      </c>
      <c r="BK1" s="2" t="s">
        <v>58</v>
      </c>
      <c r="BL1" s="2" t="s">
        <v>59</v>
      </c>
      <c r="BM1" s="2" t="s">
        <v>60</v>
      </c>
      <c r="BN1" s="2" t="s">
        <v>61</v>
      </c>
      <c r="BO1" s="2" t="s">
        <v>62</v>
      </c>
      <c r="BP1" s="6" t="s">
        <v>63</v>
      </c>
      <c r="BQ1" s="2" t="s">
        <v>64</v>
      </c>
      <c r="BR1" s="2" t="s">
        <v>65</v>
      </c>
      <c r="BS1" s="2" t="s">
        <v>66</v>
      </c>
      <c r="BT1" s="2" t="s">
        <v>67</v>
      </c>
      <c r="BU1" s="2" t="s">
        <v>68</v>
      </c>
      <c r="BV1" s="2" t="s">
        <v>69</v>
      </c>
      <c r="BW1" s="2" t="s">
        <v>70</v>
      </c>
      <c r="BX1" s="2" t="s">
        <v>71</v>
      </c>
      <c r="BY1" s="2" t="s">
        <v>72</v>
      </c>
      <c r="BZ1" s="2" t="s">
        <v>73</v>
      </c>
      <c r="CA1" s="3" t="s">
        <v>111</v>
      </c>
      <c r="CB1" s="2" t="s">
        <v>74</v>
      </c>
      <c r="CC1" s="2" t="s">
        <v>75</v>
      </c>
      <c r="CD1" s="2" t="s">
        <v>76</v>
      </c>
      <c r="CE1" s="2" t="s">
        <v>77</v>
      </c>
      <c r="CF1" s="2" t="s">
        <v>78</v>
      </c>
      <c r="CG1" s="2" t="s">
        <v>79</v>
      </c>
      <c r="CH1" s="2" t="s">
        <v>80</v>
      </c>
      <c r="CI1" s="2" t="s">
        <v>81</v>
      </c>
      <c r="CJ1" s="2" t="s">
        <v>82</v>
      </c>
      <c r="CK1" s="2" t="s">
        <v>83</v>
      </c>
      <c r="CL1" s="2" t="s">
        <v>84</v>
      </c>
      <c r="CM1" s="2" t="s">
        <v>85</v>
      </c>
      <c r="CN1" s="6" t="s">
        <v>86</v>
      </c>
      <c r="CO1" s="2" t="s">
        <v>87</v>
      </c>
      <c r="CP1" s="2" t="s">
        <v>113</v>
      </c>
      <c r="CQ1" s="2" t="s">
        <v>88</v>
      </c>
      <c r="CR1" s="2" t="s">
        <v>89</v>
      </c>
      <c r="CS1" s="2" t="s">
        <v>90</v>
      </c>
      <c r="CT1" s="3" t="s">
        <v>112</v>
      </c>
    </row>
    <row r="2" spans="1:98" x14ac:dyDescent="0.25">
      <c r="A2" s="1" t="s">
        <v>91</v>
      </c>
      <c r="B2">
        <v>151</v>
      </c>
      <c r="C2">
        <v>152</v>
      </c>
      <c r="D2">
        <v>152</v>
      </c>
      <c r="E2">
        <v>151</v>
      </c>
      <c r="F2">
        <v>151</v>
      </c>
      <c r="G2">
        <v>151</v>
      </c>
      <c r="H2">
        <v>150</v>
      </c>
      <c r="I2">
        <v>151</v>
      </c>
      <c r="J2">
        <v>151</v>
      </c>
      <c r="K2">
        <v>151</v>
      </c>
      <c r="L2">
        <v>151</v>
      </c>
      <c r="M2">
        <v>151</v>
      </c>
      <c r="N2">
        <v>151</v>
      </c>
      <c r="O2">
        <v>153</v>
      </c>
      <c r="P2">
        <v>154</v>
      </c>
      <c r="Q2">
        <v>154</v>
      </c>
      <c r="R2">
        <v>159</v>
      </c>
      <c r="S2">
        <v>160</v>
      </c>
      <c r="T2">
        <v>159</v>
      </c>
      <c r="U2">
        <v>159</v>
      </c>
      <c r="V2" s="3">
        <f t="shared" ref="V2:V33" si="0">AVERAGE(B2:U2)</f>
        <v>153.1</v>
      </c>
      <c r="W2">
        <v>155</v>
      </c>
      <c r="X2">
        <v>155</v>
      </c>
      <c r="Y2">
        <v>155</v>
      </c>
      <c r="Z2" s="5">
        <v>155</v>
      </c>
      <c r="AA2">
        <v>156</v>
      </c>
      <c r="AB2">
        <v>156</v>
      </c>
      <c r="AC2">
        <v>157</v>
      </c>
      <c r="AD2">
        <v>157</v>
      </c>
      <c r="AE2">
        <v>157</v>
      </c>
      <c r="AF2">
        <v>156</v>
      </c>
      <c r="AG2">
        <v>163</v>
      </c>
      <c r="AH2">
        <v>163</v>
      </c>
      <c r="AI2">
        <v>152</v>
      </c>
      <c r="AJ2">
        <v>155</v>
      </c>
      <c r="AK2" s="3">
        <f t="shared" ref="AK2:AK33" si="1">AVERAGE(W2:AJ2)</f>
        <v>156.57142857142858</v>
      </c>
      <c r="AL2">
        <v>158</v>
      </c>
      <c r="AM2">
        <v>156</v>
      </c>
      <c r="AN2">
        <v>159</v>
      </c>
      <c r="AO2">
        <v>158</v>
      </c>
      <c r="AP2">
        <v>158</v>
      </c>
      <c r="AQ2">
        <v>157</v>
      </c>
      <c r="AR2">
        <v>157</v>
      </c>
      <c r="AS2">
        <v>155</v>
      </c>
      <c r="AT2" s="5">
        <v>155</v>
      </c>
      <c r="AU2">
        <v>156</v>
      </c>
      <c r="AV2">
        <v>155</v>
      </c>
      <c r="AW2">
        <v>156</v>
      </c>
      <c r="AX2">
        <v>155</v>
      </c>
      <c r="AY2">
        <v>155</v>
      </c>
      <c r="AZ2">
        <v>152</v>
      </c>
      <c r="BA2">
        <v>155</v>
      </c>
      <c r="BB2">
        <v>152</v>
      </c>
      <c r="BC2">
        <v>152</v>
      </c>
      <c r="BD2">
        <v>152</v>
      </c>
      <c r="BE2">
        <v>153</v>
      </c>
      <c r="BF2" s="3">
        <f t="shared" ref="BF2:BF33" si="2">AVERAGE(AL2:BE2)</f>
        <v>155.30000000000001</v>
      </c>
      <c r="BG2">
        <v>148</v>
      </c>
      <c r="BH2">
        <v>149</v>
      </c>
      <c r="BI2">
        <v>149</v>
      </c>
      <c r="BJ2">
        <v>148</v>
      </c>
      <c r="BK2">
        <v>169</v>
      </c>
      <c r="BL2">
        <v>162</v>
      </c>
      <c r="BM2">
        <v>166</v>
      </c>
      <c r="BN2">
        <v>165</v>
      </c>
      <c r="BO2">
        <v>157</v>
      </c>
      <c r="BP2" s="5">
        <v>157</v>
      </c>
      <c r="BQ2">
        <v>161</v>
      </c>
      <c r="BR2">
        <v>156</v>
      </c>
      <c r="BS2">
        <v>151</v>
      </c>
      <c r="BT2">
        <v>152</v>
      </c>
      <c r="BU2">
        <v>152</v>
      </c>
      <c r="BV2">
        <v>153</v>
      </c>
      <c r="BW2">
        <v>155</v>
      </c>
      <c r="BX2">
        <v>155</v>
      </c>
      <c r="BY2">
        <v>156</v>
      </c>
      <c r="BZ2">
        <v>155</v>
      </c>
      <c r="CA2" s="3">
        <f t="shared" ref="CA2:CA33" si="3">AVERAGE(BG2:BZ2)</f>
        <v>155.80000000000001</v>
      </c>
      <c r="CB2">
        <v>168</v>
      </c>
      <c r="CC2">
        <v>152</v>
      </c>
      <c r="CD2">
        <v>162</v>
      </c>
      <c r="CE2">
        <v>165</v>
      </c>
      <c r="CF2">
        <v>152</v>
      </c>
      <c r="CG2">
        <v>152</v>
      </c>
      <c r="CH2">
        <v>151</v>
      </c>
      <c r="CI2">
        <v>151</v>
      </c>
      <c r="CJ2">
        <v>152</v>
      </c>
      <c r="CK2">
        <v>154</v>
      </c>
      <c r="CL2">
        <v>154</v>
      </c>
      <c r="CM2">
        <v>152</v>
      </c>
      <c r="CN2" s="5">
        <v>149</v>
      </c>
      <c r="CO2">
        <v>149</v>
      </c>
      <c r="CP2">
        <v>149</v>
      </c>
      <c r="CQ2">
        <v>153</v>
      </c>
      <c r="CR2">
        <v>153</v>
      </c>
      <c r="CS2">
        <v>153</v>
      </c>
      <c r="CT2" s="3">
        <f t="shared" ref="CT2:CT33" si="4">AVERAGE(CB2:CS2)</f>
        <v>153.94444444444446</v>
      </c>
    </row>
    <row r="3" spans="1:98" x14ac:dyDescent="0.25">
      <c r="A3" s="1" t="s">
        <v>92</v>
      </c>
      <c r="B3">
        <v>154</v>
      </c>
      <c r="C3">
        <v>154</v>
      </c>
      <c r="D3">
        <v>154</v>
      </c>
      <c r="E3">
        <v>152</v>
      </c>
      <c r="F3">
        <v>151</v>
      </c>
      <c r="G3">
        <v>151</v>
      </c>
      <c r="H3">
        <v>151</v>
      </c>
      <c r="I3">
        <v>151</v>
      </c>
      <c r="J3">
        <v>153</v>
      </c>
      <c r="K3">
        <v>154</v>
      </c>
      <c r="L3">
        <v>154</v>
      </c>
      <c r="M3">
        <v>154</v>
      </c>
      <c r="N3">
        <v>157</v>
      </c>
      <c r="O3">
        <v>157</v>
      </c>
      <c r="P3">
        <v>157</v>
      </c>
      <c r="Q3">
        <v>157</v>
      </c>
      <c r="R3">
        <v>162</v>
      </c>
      <c r="S3">
        <v>162</v>
      </c>
      <c r="T3">
        <v>162</v>
      </c>
      <c r="U3">
        <v>162</v>
      </c>
      <c r="V3" s="3">
        <f t="shared" si="0"/>
        <v>155.44999999999999</v>
      </c>
      <c r="W3">
        <v>153</v>
      </c>
      <c r="X3">
        <v>154</v>
      </c>
      <c r="Y3">
        <v>154</v>
      </c>
      <c r="Z3" s="5">
        <v>157</v>
      </c>
      <c r="AA3">
        <v>156</v>
      </c>
      <c r="AB3">
        <v>158</v>
      </c>
      <c r="AC3">
        <v>156</v>
      </c>
      <c r="AD3">
        <v>157</v>
      </c>
      <c r="AE3">
        <v>156</v>
      </c>
      <c r="AF3">
        <v>157</v>
      </c>
      <c r="AG3">
        <v>160</v>
      </c>
      <c r="AH3">
        <v>161</v>
      </c>
      <c r="AI3">
        <v>153</v>
      </c>
      <c r="AJ3">
        <v>153</v>
      </c>
      <c r="AK3" s="3">
        <f t="shared" si="1"/>
        <v>156.07142857142858</v>
      </c>
      <c r="AL3">
        <v>156</v>
      </c>
      <c r="AM3">
        <v>155</v>
      </c>
      <c r="AN3">
        <v>156</v>
      </c>
      <c r="AO3">
        <v>155</v>
      </c>
      <c r="AP3">
        <v>157</v>
      </c>
      <c r="AQ3">
        <v>155</v>
      </c>
      <c r="AR3">
        <v>155</v>
      </c>
      <c r="AS3">
        <v>153</v>
      </c>
      <c r="AT3" s="5">
        <v>153</v>
      </c>
      <c r="AU3">
        <v>153</v>
      </c>
      <c r="AV3">
        <v>152</v>
      </c>
      <c r="AW3">
        <v>153</v>
      </c>
      <c r="AX3">
        <v>154</v>
      </c>
      <c r="AY3">
        <v>154</v>
      </c>
      <c r="AZ3">
        <v>151</v>
      </c>
      <c r="BA3">
        <v>153</v>
      </c>
      <c r="BB3">
        <v>148</v>
      </c>
      <c r="BC3">
        <v>149</v>
      </c>
      <c r="BD3">
        <v>151</v>
      </c>
      <c r="BE3">
        <v>150</v>
      </c>
      <c r="BF3" s="3">
        <f t="shared" si="2"/>
        <v>153.15</v>
      </c>
      <c r="BG3">
        <v>144</v>
      </c>
      <c r="BH3">
        <v>148</v>
      </c>
      <c r="BI3">
        <v>145</v>
      </c>
      <c r="BJ3">
        <v>143</v>
      </c>
      <c r="BK3">
        <v>162</v>
      </c>
      <c r="BL3">
        <v>156</v>
      </c>
      <c r="BM3">
        <v>162</v>
      </c>
      <c r="BN3">
        <v>159</v>
      </c>
      <c r="BO3">
        <v>152</v>
      </c>
      <c r="BP3" s="5">
        <v>150</v>
      </c>
      <c r="BQ3">
        <v>157</v>
      </c>
      <c r="BR3">
        <v>151</v>
      </c>
      <c r="BS3">
        <v>147</v>
      </c>
      <c r="BT3">
        <v>146</v>
      </c>
      <c r="BU3">
        <v>147</v>
      </c>
      <c r="BV3">
        <v>147</v>
      </c>
      <c r="BW3">
        <v>148</v>
      </c>
      <c r="BX3">
        <v>148</v>
      </c>
      <c r="BY3">
        <v>149</v>
      </c>
      <c r="BZ3">
        <v>148</v>
      </c>
      <c r="CA3" s="3">
        <f t="shared" si="3"/>
        <v>150.44999999999999</v>
      </c>
      <c r="CB3">
        <v>159</v>
      </c>
      <c r="CC3">
        <v>142</v>
      </c>
      <c r="CD3">
        <v>152</v>
      </c>
      <c r="CE3">
        <v>153</v>
      </c>
      <c r="CF3">
        <v>144</v>
      </c>
      <c r="CG3">
        <v>144</v>
      </c>
      <c r="CH3">
        <v>142</v>
      </c>
      <c r="CI3">
        <v>142</v>
      </c>
      <c r="CJ3">
        <v>146</v>
      </c>
      <c r="CK3">
        <v>143</v>
      </c>
      <c r="CL3">
        <v>146</v>
      </c>
      <c r="CM3">
        <v>145</v>
      </c>
      <c r="CN3" s="5">
        <v>143</v>
      </c>
      <c r="CO3">
        <v>146</v>
      </c>
      <c r="CP3">
        <v>143</v>
      </c>
      <c r="CQ3">
        <v>147</v>
      </c>
      <c r="CR3">
        <v>145</v>
      </c>
      <c r="CS3">
        <v>145</v>
      </c>
      <c r="CT3" s="3">
        <f t="shared" si="4"/>
        <v>145.94444444444446</v>
      </c>
    </row>
    <row r="4" spans="1:98" x14ac:dyDescent="0.25">
      <c r="A4" s="1" t="s">
        <v>93</v>
      </c>
      <c r="B4">
        <v>124</v>
      </c>
      <c r="C4">
        <v>125</v>
      </c>
      <c r="D4">
        <v>124</v>
      </c>
      <c r="E4">
        <v>124</v>
      </c>
      <c r="F4">
        <v>129</v>
      </c>
      <c r="G4">
        <v>131</v>
      </c>
      <c r="H4">
        <v>130</v>
      </c>
      <c r="I4">
        <v>130</v>
      </c>
      <c r="J4">
        <v>134</v>
      </c>
      <c r="K4">
        <v>133</v>
      </c>
      <c r="L4">
        <v>135</v>
      </c>
      <c r="M4">
        <v>134</v>
      </c>
      <c r="N4">
        <v>132</v>
      </c>
      <c r="O4">
        <v>132</v>
      </c>
      <c r="P4">
        <v>132</v>
      </c>
      <c r="Q4">
        <v>131</v>
      </c>
      <c r="R4">
        <v>134</v>
      </c>
      <c r="S4">
        <v>135</v>
      </c>
      <c r="T4">
        <v>135</v>
      </c>
      <c r="U4">
        <v>134</v>
      </c>
      <c r="V4" s="3">
        <f t="shared" si="0"/>
        <v>130.9</v>
      </c>
      <c r="W4">
        <v>124</v>
      </c>
      <c r="X4">
        <v>124</v>
      </c>
      <c r="Y4">
        <v>124</v>
      </c>
      <c r="Z4" s="5">
        <v>134</v>
      </c>
      <c r="AA4">
        <v>134</v>
      </c>
      <c r="AB4">
        <v>135</v>
      </c>
      <c r="AC4">
        <v>132</v>
      </c>
      <c r="AD4">
        <v>132</v>
      </c>
      <c r="AE4">
        <v>133</v>
      </c>
      <c r="AF4">
        <v>132</v>
      </c>
      <c r="AG4">
        <v>137</v>
      </c>
      <c r="AH4">
        <v>137</v>
      </c>
      <c r="AI4">
        <v>128</v>
      </c>
      <c r="AJ4">
        <v>129</v>
      </c>
      <c r="AK4" s="3">
        <f t="shared" si="1"/>
        <v>131.07142857142858</v>
      </c>
      <c r="AL4">
        <v>127</v>
      </c>
      <c r="AM4">
        <v>127</v>
      </c>
      <c r="AN4">
        <v>130</v>
      </c>
      <c r="AO4">
        <v>128</v>
      </c>
      <c r="AP4">
        <v>128</v>
      </c>
      <c r="AQ4">
        <v>127</v>
      </c>
      <c r="AR4">
        <v>127</v>
      </c>
      <c r="AS4">
        <v>124</v>
      </c>
      <c r="AT4" s="5">
        <v>126</v>
      </c>
      <c r="AU4">
        <v>125</v>
      </c>
      <c r="AV4">
        <v>120</v>
      </c>
      <c r="AW4">
        <v>123</v>
      </c>
      <c r="AX4">
        <v>128</v>
      </c>
      <c r="AY4">
        <v>127</v>
      </c>
      <c r="AZ4">
        <v>126</v>
      </c>
      <c r="BA4">
        <v>127</v>
      </c>
      <c r="BB4">
        <v>122</v>
      </c>
      <c r="BC4">
        <v>123</v>
      </c>
      <c r="BD4">
        <v>124</v>
      </c>
      <c r="BE4">
        <v>124</v>
      </c>
      <c r="BF4" s="3">
        <f t="shared" si="2"/>
        <v>125.65</v>
      </c>
      <c r="BG4">
        <v>115</v>
      </c>
      <c r="BH4">
        <v>114</v>
      </c>
      <c r="BI4">
        <v>112</v>
      </c>
      <c r="BJ4">
        <v>115</v>
      </c>
      <c r="BK4">
        <v>131</v>
      </c>
      <c r="BL4">
        <v>124</v>
      </c>
      <c r="BM4">
        <v>130</v>
      </c>
      <c r="BN4">
        <v>127</v>
      </c>
      <c r="BO4">
        <v>124</v>
      </c>
      <c r="BP4" s="5">
        <v>120</v>
      </c>
      <c r="BQ4">
        <v>123</v>
      </c>
      <c r="BR4">
        <v>117</v>
      </c>
      <c r="BS4">
        <v>113</v>
      </c>
      <c r="BT4">
        <v>112</v>
      </c>
      <c r="BU4">
        <v>114</v>
      </c>
      <c r="BV4">
        <v>114</v>
      </c>
      <c r="BW4">
        <v>118</v>
      </c>
      <c r="BX4">
        <v>117</v>
      </c>
      <c r="BY4">
        <v>115</v>
      </c>
      <c r="BZ4">
        <v>115</v>
      </c>
      <c r="CA4" s="3">
        <f t="shared" si="3"/>
        <v>118.5</v>
      </c>
      <c r="CB4">
        <v>113</v>
      </c>
      <c r="CC4">
        <v>109</v>
      </c>
      <c r="CD4">
        <v>108</v>
      </c>
      <c r="CE4">
        <v>110</v>
      </c>
      <c r="CF4">
        <v>110</v>
      </c>
      <c r="CG4">
        <v>112</v>
      </c>
      <c r="CH4">
        <v>106</v>
      </c>
      <c r="CI4">
        <v>109</v>
      </c>
      <c r="CJ4">
        <v>111</v>
      </c>
      <c r="CK4">
        <v>100</v>
      </c>
      <c r="CL4">
        <v>106</v>
      </c>
      <c r="CM4">
        <v>107</v>
      </c>
      <c r="CN4" s="5">
        <v>109</v>
      </c>
      <c r="CO4">
        <v>113</v>
      </c>
      <c r="CP4">
        <v>105</v>
      </c>
      <c r="CQ4">
        <v>106</v>
      </c>
      <c r="CR4">
        <v>102</v>
      </c>
      <c r="CS4">
        <v>103</v>
      </c>
      <c r="CT4" s="3">
        <f t="shared" si="4"/>
        <v>107.72222222222223</v>
      </c>
    </row>
    <row r="5" spans="1:98" x14ac:dyDescent="0.25">
      <c r="A5" s="1" t="s">
        <v>94</v>
      </c>
      <c r="B5">
        <v>149.19</v>
      </c>
      <c r="C5">
        <v>153.35</v>
      </c>
      <c r="D5">
        <v>152.27000000000001</v>
      </c>
      <c r="E5">
        <v>145.80000000000001</v>
      </c>
      <c r="F5">
        <v>151.65</v>
      </c>
      <c r="G5">
        <v>153.63999999999999</v>
      </c>
      <c r="H5">
        <v>150.54</v>
      </c>
      <c r="I5">
        <v>152.16999999999999</v>
      </c>
      <c r="J5">
        <v>154.99</v>
      </c>
      <c r="K5">
        <v>152.03</v>
      </c>
      <c r="L5">
        <v>152.19999999999999</v>
      </c>
      <c r="M5">
        <v>151.71</v>
      </c>
      <c r="N5">
        <v>151.5</v>
      </c>
      <c r="O5">
        <v>152.69999999999999</v>
      </c>
      <c r="P5">
        <v>152.35</v>
      </c>
      <c r="Q5">
        <v>151.12</v>
      </c>
      <c r="R5">
        <v>161.74</v>
      </c>
      <c r="S5">
        <v>158.72</v>
      </c>
      <c r="T5">
        <v>160.55000000000001</v>
      </c>
      <c r="U5">
        <v>159.44999999999999</v>
      </c>
      <c r="V5" s="3">
        <f t="shared" si="0"/>
        <v>153.38349999999997</v>
      </c>
      <c r="W5">
        <v>151.94</v>
      </c>
      <c r="X5">
        <v>152.79</v>
      </c>
      <c r="Y5">
        <v>153.1</v>
      </c>
      <c r="Z5" s="5">
        <v>158.16999999999999</v>
      </c>
      <c r="AA5">
        <v>160.66999999999999</v>
      </c>
      <c r="AB5">
        <v>159.68</v>
      </c>
      <c r="AC5">
        <v>155.82</v>
      </c>
      <c r="AD5">
        <v>157.51</v>
      </c>
      <c r="AE5">
        <v>154.83000000000001</v>
      </c>
      <c r="AF5">
        <v>158.53</v>
      </c>
      <c r="AG5">
        <v>156.26</v>
      </c>
      <c r="AH5">
        <v>156.65</v>
      </c>
      <c r="AI5">
        <v>155.46</v>
      </c>
      <c r="AJ5">
        <v>153.99</v>
      </c>
      <c r="AK5" s="3">
        <f t="shared" si="1"/>
        <v>156.09999999999997</v>
      </c>
      <c r="AL5">
        <v>152.66999999999999</v>
      </c>
      <c r="AM5">
        <v>147.69</v>
      </c>
      <c r="AN5">
        <v>154.5</v>
      </c>
      <c r="AO5">
        <v>157.19</v>
      </c>
      <c r="AP5">
        <v>155.15</v>
      </c>
      <c r="AQ5">
        <v>153.30000000000001</v>
      </c>
      <c r="AR5">
        <v>151.65</v>
      </c>
      <c r="AS5">
        <v>155.55000000000001</v>
      </c>
      <c r="AT5" s="5">
        <v>152.43</v>
      </c>
      <c r="AU5">
        <v>153.08000000000001</v>
      </c>
      <c r="AV5">
        <v>152.22999999999999</v>
      </c>
      <c r="AW5">
        <v>153.19999999999999</v>
      </c>
      <c r="AX5">
        <v>150.55000000000001</v>
      </c>
      <c r="AY5">
        <v>147.41</v>
      </c>
      <c r="AZ5">
        <v>151.49</v>
      </c>
      <c r="BA5">
        <v>151.77000000000001</v>
      </c>
      <c r="BB5">
        <v>155.05000000000001</v>
      </c>
      <c r="BC5">
        <v>151.4</v>
      </c>
      <c r="BD5">
        <v>153.99</v>
      </c>
      <c r="BE5">
        <v>151.93</v>
      </c>
      <c r="BF5" s="3">
        <f t="shared" si="2"/>
        <v>152.61150000000001</v>
      </c>
      <c r="BG5">
        <v>150.22</v>
      </c>
      <c r="BH5">
        <v>144.99</v>
      </c>
      <c r="BI5">
        <v>151.04</v>
      </c>
      <c r="BJ5">
        <v>151.09</v>
      </c>
      <c r="BK5">
        <v>151.93</v>
      </c>
      <c r="BL5">
        <v>151.56</v>
      </c>
      <c r="BM5">
        <v>151.24</v>
      </c>
      <c r="BN5">
        <v>150.46</v>
      </c>
      <c r="BO5">
        <v>157.01</v>
      </c>
      <c r="BP5" s="5">
        <v>155.99</v>
      </c>
      <c r="BQ5">
        <v>155.06</v>
      </c>
      <c r="BR5">
        <v>153.43</v>
      </c>
      <c r="BS5">
        <v>149.80000000000001</v>
      </c>
      <c r="BT5">
        <v>147.80000000000001</v>
      </c>
      <c r="BU5">
        <v>149.1</v>
      </c>
      <c r="BV5">
        <v>152.18</v>
      </c>
      <c r="BW5">
        <v>151.94</v>
      </c>
      <c r="BX5">
        <v>152.63</v>
      </c>
      <c r="BY5">
        <v>154.59</v>
      </c>
      <c r="BZ5">
        <v>153.74</v>
      </c>
      <c r="CA5" s="3">
        <f t="shared" si="3"/>
        <v>151.79000000000002</v>
      </c>
      <c r="CB5">
        <v>150.6</v>
      </c>
      <c r="CC5">
        <v>150.96</v>
      </c>
      <c r="CD5">
        <v>154.27000000000001</v>
      </c>
      <c r="CE5">
        <v>151.85</v>
      </c>
      <c r="CF5">
        <v>154.37</v>
      </c>
      <c r="CG5">
        <v>151.66</v>
      </c>
      <c r="CH5">
        <v>154.06</v>
      </c>
      <c r="CI5">
        <v>154.91999999999999</v>
      </c>
      <c r="CJ5">
        <v>146.91999999999999</v>
      </c>
      <c r="CK5">
        <v>149.38</v>
      </c>
      <c r="CL5">
        <v>149.56</v>
      </c>
      <c r="CM5">
        <v>149.44</v>
      </c>
      <c r="CN5" s="5">
        <v>148.51</v>
      </c>
      <c r="CO5">
        <v>146.51</v>
      </c>
      <c r="CP5">
        <v>147.91999999999999</v>
      </c>
      <c r="CQ5">
        <v>149.69</v>
      </c>
      <c r="CR5">
        <v>148.16</v>
      </c>
      <c r="CS5">
        <v>149.07</v>
      </c>
      <c r="CT5" s="3">
        <f t="shared" si="4"/>
        <v>150.43611111111113</v>
      </c>
    </row>
    <row r="6" spans="1:98" x14ac:dyDescent="0.25">
      <c r="A6" s="1" t="s">
        <v>95</v>
      </c>
      <c r="B6">
        <v>152.16999999999999</v>
      </c>
      <c r="C6">
        <v>154.22</v>
      </c>
      <c r="D6">
        <v>155.22999999999999</v>
      </c>
      <c r="E6">
        <v>148.80000000000001</v>
      </c>
      <c r="F6">
        <v>154.65</v>
      </c>
      <c r="G6">
        <v>157.58000000000001</v>
      </c>
      <c r="H6">
        <v>154.54</v>
      </c>
      <c r="I6">
        <v>156.22</v>
      </c>
      <c r="J6">
        <v>158.68</v>
      </c>
      <c r="K6">
        <v>155.03</v>
      </c>
      <c r="L6">
        <v>157.11000000000001</v>
      </c>
      <c r="M6">
        <v>156.27000000000001</v>
      </c>
      <c r="N6">
        <v>159.5</v>
      </c>
      <c r="O6">
        <v>156.69999999999999</v>
      </c>
      <c r="P6">
        <v>157.35</v>
      </c>
      <c r="Q6">
        <v>155.12</v>
      </c>
      <c r="R6">
        <v>166.74</v>
      </c>
      <c r="S6">
        <v>163.71</v>
      </c>
      <c r="T6">
        <v>162.55000000000001</v>
      </c>
      <c r="U6">
        <v>164.45</v>
      </c>
      <c r="V6" s="3">
        <f t="shared" si="0"/>
        <v>157.33099999999999</v>
      </c>
      <c r="W6">
        <v>152.44999999999999</v>
      </c>
      <c r="X6">
        <v>154.72999999999999</v>
      </c>
      <c r="Y6">
        <v>154.09</v>
      </c>
      <c r="Z6" s="5">
        <v>161.16999999999999</v>
      </c>
      <c r="AA6">
        <v>159.74</v>
      </c>
      <c r="AB6">
        <v>157.68</v>
      </c>
      <c r="AC6">
        <v>157.82</v>
      </c>
      <c r="AD6">
        <v>157.51</v>
      </c>
      <c r="AE6">
        <v>156.33000000000001</v>
      </c>
      <c r="AF6">
        <v>160.46</v>
      </c>
      <c r="AG6">
        <v>156.65</v>
      </c>
      <c r="AH6">
        <v>156.65</v>
      </c>
      <c r="AI6">
        <v>157.46</v>
      </c>
      <c r="AJ6">
        <v>156.01</v>
      </c>
      <c r="AK6" s="3">
        <f t="shared" si="1"/>
        <v>157.05357142857142</v>
      </c>
      <c r="AL6">
        <v>152.99</v>
      </c>
      <c r="AM6">
        <v>149.68</v>
      </c>
      <c r="AN6">
        <v>150.88</v>
      </c>
      <c r="AO6">
        <v>153.19</v>
      </c>
      <c r="AP6">
        <v>157.5</v>
      </c>
      <c r="AQ6">
        <v>152.29</v>
      </c>
      <c r="AR6">
        <v>151.6</v>
      </c>
      <c r="AS6">
        <v>155.56</v>
      </c>
      <c r="AT6" s="5">
        <v>152.44</v>
      </c>
      <c r="AU6">
        <v>150.05000000000001</v>
      </c>
      <c r="AV6">
        <v>149.22999999999999</v>
      </c>
      <c r="AW6">
        <v>153.30000000000001</v>
      </c>
      <c r="AX6">
        <v>150.41</v>
      </c>
      <c r="AY6">
        <v>149.15</v>
      </c>
      <c r="AZ6">
        <v>147.19999999999999</v>
      </c>
      <c r="BA6">
        <v>150.84</v>
      </c>
      <c r="BB6">
        <v>151.05000000000001</v>
      </c>
      <c r="BC6">
        <v>153.27000000000001</v>
      </c>
      <c r="BD6">
        <v>155.88999999999999</v>
      </c>
      <c r="BE6">
        <v>153.79</v>
      </c>
      <c r="BF6" s="3">
        <f t="shared" si="2"/>
        <v>152.0155</v>
      </c>
      <c r="BG6">
        <v>147.22</v>
      </c>
      <c r="BH6">
        <v>147.86000000000001</v>
      </c>
      <c r="BI6">
        <v>148.04</v>
      </c>
      <c r="BJ6">
        <v>148.09</v>
      </c>
      <c r="BK6">
        <v>148.91999999999999</v>
      </c>
      <c r="BL6">
        <v>148.65</v>
      </c>
      <c r="BM6">
        <v>148.36000000000001</v>
      </c>
      <c r="BN6">
        <v>147.44</v>
      </c>
      <c r="BO6">
        <v>154</v>
      </c>
      <c r="BP6" s="5">
        <v>152.99</v>
      </c>
      <c r="BQ6">
        <v>152.06</v>
      </c>
      <c r="BR6">
        <v>150.43</v>
      </c>
      <c r="BS6">
        <v>144.34</v>
      </c>
      <c r="BT6">
        <v>144.80000000000001</v>
      </c>
      <c r="BU6">
        <v>146.1</v>
      </c>
      <c r="BV6">
        <v>146</v>
      </c>
      <c r="BW6">
        <v>148.94</v>
      </c>
      <c r="BX6">
        <v>152.27000000000001</v>
      </c>
      <c r="BY6">
        <v>151.61000000000001</v>
      </c>
      <c r="BZ6">
        <v>148.97999999999999</v>
      </c>
      <c r="CA6" s="3">
        <f t="shared" si="3"/>
        <v>148.85499999999999</v>
      </c>
      <c r="CB6">
        <v>141.41</v>
      </c>
      <c r="CC6">
        <v>146.82</v>
      </c>
      <c r="CD6">
        <v>145.27000000000001</v>
      </c>
      <c r="CE6">
        <v>143.86000000000001</v>
      </c>
      <c r="CF6">
        <v>150.38</v>
      </c>
      <c r="CG6">
        <v>147.66</v>
      </c>
      <c r="CH6">
        <v>149.06</v>
      </c>
      <c r="CI6">
        <v>146.91999999999999</v>
      </c>
      <c r="CJ6">
        <v>145.80000000000001</v>
      </c>
      <c r="CK6">
        <v>141.41999999999999</v>
      </c>
      <c r="CL6">
        <v>142.15</v>
      </c>
      <c r="CM6">
        <v>142.4</v>
      </c>
      <c r="CN6" s="5">
        <v>148.97</v>
      </c>
      <c r="CO6">
        <v>148.36000000000001</v>
      </c>
      <c r="CP6">
        <v>142.91</v>
      </c>
      <c r="CQ6">
        <v>141.69</v>
      </c>
      <c r="CR6">
        <v>144.4</v>
      </c>
      <c r="CS6">
        <v>145.77000000000001</v>
      </c>
      <c r="CT6" s="3">
        <f t="shared" si="4"/>
        <v>145.29166666666669</v>
      </c>
    </row>
    <row r="7" spans="1:98" x14ac:dyDescent="0.25">
      <c r="A7" s="1" t="s">
        <v>96</v>
      </c>
      <c r="B7">
        <v>123.18</v>
      </c>
      <c r="C7">
        <v>126.22</v>
      </c>
      <c r="D7">
        <v>126.24</v>
      </c>
      <c r="E7">
        <v>119.8</v>
      </c>
      <c r="F7">
        <v>135.65</v>
      </c>
      <c r="G7">
        <v>135.02000000000001</v>
      </c>
      <c r="H7">
        <v>131.54</v>
      </c>
      <c r="I7">
        <v>132.22999999999999</v>
      </c>
      <c r="J7">
        <v>136.99</v>
      </c>
      <c r="K7">
        <v>136.19999999999999</v>
      </c>
      <c r="L7">
        <v>134.19999999999999</v>
      </c>
      <c r="M7">
        <v>133.37</v>
      </c>
      <c r="N7">
        <v>135.5</v>
      </c>
      <c r="O7">
        <v>131.69999999999999</v>
      </c>
      <c r="P7">
        <v>134.35</v>
      </c>
      <c r="Q7">
        <v>131.37</v>
      </c>
      <c r="R7">
        <v>136.74</v>
      </c>
      <c r="S7">
        <v>133.72999999999999</v>
      </c>
      <c r="T7">
        <v>138.55000000000001</v>
      </c>
      <c r="U7">
        <v>134.44999999999999</v>
      </c>
      <c r="V7" s="3">
        <f t="shared" si="0"/>
        <v>132.35150000000002</v>
      </c>
      <c r="W7">
        <v>124.45</v>
      </c>
      <c r="X7">
        <v>123.86</v>
      </c>
      <c r="Y7">
        <v>123.1</v>
      </c>
      <c r="Z7" s="5">
        <v>141.91999999999999</v>
      </c>
      <c r="AA7">
        <v>138.71</v>
      </c>
      <c r="AB7">
        <v>136.68</v>
      </c>
      <c r="AC7">
        <v>135.82</v>
      </c>
      <c r="AD7">
        <v>131.51</v>
      </c>
      <c r="AE7">
        <v>131.86000000000001</v>
      </c>
      <c r="AF7">
        <v>136.47999999999999</v>
      </c>
      <c r="AG7">
        <v>135.15</v>
      </c>
      <c r="AH7">
        <v>132.65</v>
      </c>
      <c r="AI7">
        <v>135.46</v>
      </c>
      <c r="AJ7">
        <v>131.93</v>
      </c>
      <c r="AK7" s="3">
        <f t="shared" si="1"/>
        <v>132.82714285714286</v>
      </c>
      <c r="AL7">
        <v>124.47</v>
      </c>
      <c r="AM7">
        <v>127.66</v>
      </c>
      <c r="AN7">
        <v>123.75</v>
      </c>
      <c r="AO7">
        <v>124.23</v>
      </c>
      <c r="AP7">
        <v>131.31</v>
      </c>
      <c r="AQ7">
        <v>124.29</v>
      </c>
      <c r="AR7">
        <v>127.31</v>
      </c>
      <c r="AS7">
        <v>131.19</v>
      </c>
      <c r="AT7" s="5">
        <v>126.82</v>
      </c>
      <c r="AU7">
        <v>119.02</v>
      </c>
      <c r="AV7">
        <v>118.23</v>
      </c>
      <c r="AW7">
        <v>125.15</v>
      </c>
      <c r="AX7">
        <v>123.45</v>
      </c>
      <c r="AY7">
        <v>126.65</v>
      </c>
      <c r="AZ7">
        <v>124.84</v>
      </c>
      <c r="BA7">
        <v>127.4</v>
      </c>
      <c r="BB7">
        <v>124.05</v>
      </c>
      <c r="BC7">
        <v>129.08000000000001</v>
      </c>
      <c r="BD7">
        <v>130.41</v>
      </c>
      <c r="BE7">
        <v>129.79</v>
      </c>
      <c r="BF7" s="3">
        <f t="shared" si="2"/>
        <v>125.955</v>
      </c>
      <c r="BG7">
        <v>114.22</v>
      </c>
      <c r="BH7">
        <v>115.73</v>
      </c>
      <c r="BI7">
        <v>116.98</v>
      </c>
      <c r="BJ7">
        <v>114.93</v>
      </c>
      <c r="BK7">
        <v>115.93</v>
      </c>
      <c r="BL7">
        <v>117.45</v>
      </c>
      <c r="BM7">
        <v>118.61</v>
      </c>
      <c r="BN7">
        <v>114.6</v>
      </c>
      <c r="BO7">
        <v>121</v>
      </c>
      <c r="BP7" s="5">
        <v>119.99</v>
      </c>
      <c r="BQ7">
        <v>119.2</v>
      </c>
      <c r="BR7">
        <v>118.81</v>
      </c>
      <c r="BS7">
        <v>112.32</v>
      </c>
      <c r="BT7">
        <v>111.8</v>
      </c>
      <c r="BU7">
        <v>113.08</v>
      </c>
      <c r="BV7">
        <v>113.81</v>
      </c>
      <c r="BW7">
        <v>115.94</v>
      </c>
      <c r="BX7">
        <v>125.51</v>
      </c>
      <c r="BY7">
        <v>120.18</v>
      </c>
      <c r="BZ7">
        <v>117.11</v>
      </c>
      <c r="CA7" s="3">
        <f t="shared" si="3"/>
        <v>116.85999999999999</v>
      </c>
      <c r="CB7">
        <v>98.03</v>
      </c>
      <c r="CC7">
        <v>108.78</v>
      </c>
      <c r="CD7">
        <v>105.77</v>
      </c>
      <c r="CE7">
        <v>106.56</v>
      </c>
      <c r="CF7">
        <v>121.36</v>
      </c>
      <c r="CG7">
        <v>110.64</v>
      </c>
      <c r="CH7">
        <v>110.95</v>
      </c>
      <c r="CI7">
        <v>109.92</v>
      </c>
      <c r="CJ7">
        <v>114.75</v>
      </c>
      <c r="CK7">
        <v>97.79</v>
      </c>
      <c r="CL7">
        <v>99.98</v>
      </c>
      <c r="CM7">
        <v>100.43</v>
      </c>
      <c r="CN7" s="5">
        <v>117.92</v>
      </c>
      <c r="CO7">
        <v>124.25</v>
      </c>
      <c r="CP7">
        <v>104.85</v>
      </c>
      <c r="CQ7">
        <v>102.8</v>
      </c>
      <c r="CR7">
        <v>103.9</v>
      </c>
      <c r="CS7">
        <v>113.16</v>
      </c>
      <c r="CT7" s="3">
        <f t="shared" si="4"/>
        <v>108.43555555555557</v>
      </c>
    </row>
    <row r="8" spans="1:98" x14ac:dyDescent="0.25">
      <c r="A8" s="1" t="s">
        <v>97</v>
      </c>
      <c r="B8">
        <v>142</v>
      </c>
      <c r="C8">
        <v>143</v>
      </c>
      <c r="D8">
        <v>142</v>
      </c>
      <c r="E8">
        <v>142</v>
      </c>
      <c r="F8">
        <v>143</v>
      </c>
      <c r="G8">
        <v>144</v>
      </c>
      <c r="H8">
        <v>141</v>
      </c>
      <c r="I8">
        <v>142</v>
      </c>
      <c r="J8">
        <v>144</v>
      </c>
      <c r="K8">
        <v>145</v>
      </c>
      <c r="L8">
        <v>144</v>
      </c>
      <c r="M8">
        <v>143</v>
      </c>
      <c r="N8">
        <v>142</v>
      </c>
      <c r="O8">
        <v>143</v>
      </c>
      <c r="P8">
        <v>146</v>
      </c>
      <c r="Q8">
        <v>144</v>
      </c>
      <c r="R8">
        <v>153</v>
      </c>
      <c r="S8">
        <v>153</v>
      </c>
      <c r="T8">
        <v>151</v>
      </c>
      <c r="U8">
        <v>153</v>
      </c>
      <c r="V8" s="3">
        <f t="shared" si="0"/>
        <v>145</v>
      </c>
      <c r="W8">
        <v>145</v>
      </c>
      <c r="X8">
        <v>146</v>
      </c>
      <c r="Y8">
        <v>145</v>
      </c>
      <c r="Z8" s="5">
        <v>144</v>
      </c>
      <c r="AA8">
        <v>147</v>
      </c>
      <c r="AB8">
        <v>146</v>
      </c>
      <c r="AC8">
        <v>149</v>
      </c>
      <c r="AD8">
        <v>148</v>
      </c>
      <c r="AE8">
        <v>149</v>
      </c>
      <c r="AF8">
        <v>148</v>
      </c>
      <c r="AG8">
        <v>149</v>
      </c>
      <c r="AH8">
        <v>146</v>
      </c>
      <c r="AI8">
        <v>144</v>
      </c>
      <c r="AJ8">
        <v>147</v>
      </c>
      <c r="AK8" s="3">
        <f t="shared" si="1"/>
        <v>146.64285714285714</v>
      </c>
      <c r="AL8">
        <v>150</v>
      </c>
      <c r="AM8">
        <v>144</v>
      </c>
      <c r="AN8">
        <v>150</v>
      </c>
      <c r="AO8">
        <v>148</v>
      </c>
      <c r="AP8">
        <v>148</v>
      </c>
      <c r="AQ8">
        <v>147</v>
      </c>
      <c r="AR8">
        <v>147</v>
      </c>
      <c r="AS8">
        <v>145</v>
      </c>
      <c r="AT8" s="5">
        <v>146</v>
      </c>
      <c r="AU8">
        <v>146</v>
      </c>
      <c r="AV8">
        <v>145</v>
      </c>
      <c r="AW8">
        <v>144</v>
      </c>
      <c r="AX8">
        <v>145</v>
      </c>
      <c r="AY8">
        <v>141</v>
      </c>
      <c r="AZ8">
        <v>143</v>
      </c>
      <c r="BA8">
        <v>144</v>
      </c>
      <c r="BB8">
        <v>146</v>
      </c>
      <c r="BC8">
        <v>145</v>
      </c>
      <c r="BD8">
        <v>145</v>
      </c>
      <c r="BE8">
        <v>147</v>
      </c>
      <c r="BF8" s="3">
        <f t="shared" si="2"/>
        <v>145.80000000000001</v>
      </c>
      <c r="BG8">
        <v>140</v>
      </c>
      <c r="BH8">
        <v>141</v>
      </c>
      <c r="BI8">
        <v>140</v>
      </c>
      <c r="BJ8">
        <v>138</v>
      </c>
      <c r="BK8">
        <v>145</v>
      </c>
      <c r="BL8">
        <v>145</v>
      </c>
      <c r="BM8">
        <v>145</v>
      </c>
      <c r="BN8">
        <v>145</v>
      </c>
      <c r="BO8">
        <v>149</v>
      </c>
      <c r="BP8" s="5">
        <v>149</v>
      </c>
      <c r="BQ8">
        <v>149</v>
      </c>
      <c r="BR8">
        <v>149</v>
      </c>
      <c r="BS8">
        <v>143</v>
      </c>
      <c r="BT8">
        <v>144</v>
      </c>
      <c r="BU8">
        <v>144</v>
      </c>
      <c r="BV8">
        <v>145</v>
      </c>
      <c r="BW8">
        <v>148</v>
      </c>
      <c r="BX8">
        <v>148</v>
      </c>
      <c r="BY8">
        <v>149</v>
      </c>
      <c r="BZ8">
        <v>147</v>
      </c>
      <c r="CA8" s="3">
        <f t="shared" si="3"/>
        <v>145.15</v>
      </c>
      <c r="CB8">
        <v>141</v>
      </c>
      <c r="CC8">
        <v>140</v>
      </c>
      <c r="CD8">
        <v>142</v>
      </c>
      <c r="CE8">
        <v>143</v>
      </c>
      <c r="CF8">
        <v>144</v>
      </c>
      <c r="CG8">
        <v>144</v>
      </c>
      <c r="CH8">
        <v>143</v>
      </c>
      <c r="CI8">
        <v>143</v>
      </c>
      <c r="CJ8">
        <v>141</v>
      </c>
      <c r="CK8">
        <v>145</v>
      </c>
      <c r="CL8">
        <v>145</v>
      </c>
      <c r="CM8">
        <v>143</v>
      </c>
      <c r="CN8" s="5">
        <v>140</v>
      </c>
      <c r="CO8">
        <v>139</v>
      </c>
      <c r="CP8">
        <v>140</v>
      </c>
      <c r="CQ8">
        <v>143</v>
      </c>
      <c r="CR8">
        <v>143</v>
      </c>
      <c r="CS8">
        <v>143</v>
      </c>
      <c r="CT8" s="3">
        <f t="shared" si="4"/>
        <v>142.33333333333334</v>
      </c>
    </row>
    <row r="9" spans="1:98" x14ac:dyDescent="0.25">
      <c r="A9" s="1" t="s">
        <v>98</v>
      </c>
      <c r="B9">
        <v>145</v>
      </c>
      <c r="C9">
        <v>145</v>
      </c>
      <c r="D9">
        <v>145</v>
      </c>
      <c r="E9">
        <v>143</v>
      </c>
      <c r="F9">
        <v>142</v>
      </c>
      <c r="G9">
        <v>143</v>
      </c>
      <c r="H9">
        <v>142</v>
      </c>
      <c r="I9">
        <v>143</v>
      </c>
      <c r="J9">
        <v>146</v>
      </c>
      <c r="K9">
        <v>146</v>
      </c>
      <c r="L9">
        <v>147</v>
      </c>
      <c r="M9">
        <v>146</v>
      </c>
      <c r="N9">
        <v>147</v>
      </c>
      <c r="O9">
        <v>147</v>
      </c>
      <c r="P9">
        <v>148</v>
      </c>
      <c r="Q9">
        <v>146</v>
      </c>
      <c r="R9">
        <v>155</v>
      </c>
      <c r="S9">
        <v>156</v>
      </c>
      <c r="T9">
        <v>155</v>
      </c>
      <c r="U9">
        <v>155</v>
      </c>
      <c r="V9" s="3">
        <f t="shared" si="0"/>
        <v>147.1</v>
      </c>
      <c r="W9">
        <v>143</v>
      </c>
      <c r="X9">
        <v>145</v>
      </c>
      <c r="Y9">
        <v>145</v>
      </c>
      <c r="Z9" s="5">
        <v>148</v>
      </c>
      <c r="AA9">
        <v>148</v>
      </c>
      <c r="AB9">
        <v>148</v>
      </c>
      <c r="AC9">
        <v>150</v>
      </c>
      <c r="AD9">
        <v>150</v>
      </c>
      <c r="AE9">
        <v>149</v>
      </c>
      <c r="AF9">
        <v>150</v>
      </c>
      <c r="AG9">
        <v>146</v>
      </c>
      <c r="AH9">
        <v>145</v>
      </c>
      <c r="AI9">
        <v>146</v>
      </c>
      <c r="AJ9">
        <v>145</v>
      </c>
      <c r="AK9" s="3">
        <f t="shared" si="1"/>
        <v>147</v>
      </c>
      <c r="AL9">
        <v>148</v>
      </c>
      <c r="AM9">
        <v>145</v>
      </c>
      <c r="AN9">
        <v>148</v>
      </c>
      <c r="AO9">
        <v>147</v>
      </c>
      <c r="AP9">
        <v>145</v>
      </c>
      <c r="AQ9">
        <v>146</v>
      </c>
      <c r="AR9">
        <v>146</v>
      </c>
      <c r="AS9">
        <v>144</v>
      </c>
      <c r="AT9" s="5">
        <v>142</v>
      </c>
      <c r="AU9">
        <v>143</v>
      </c>
      <c r="AV9">
        <v>142</v>
      </c>
      <c r="AW9">
        <v>141</v>
      </c>
      <c r="AX9">
        <v>143</v>
      </c>
      <c r="AY9">
        <v>142</v>
      </c>
      <c r="AZ9">
        <v>141</v>
      </c>
      <c r="BA9">
        <v>143</v>
      </c>
      <c r="BB9">
        <v>141</v>
      </c>
      <c r="BC9">
        <v>142</v>
      </c>
      <c r="BD9">
        <v>144</v>
      </c>
      <c r="BE9">
        <v>143</v>
      </c>
      <c r="BF9" s="3">
        <f t="shared" si="2"/>
        <v>143.80000000000001</v>
      </c>
      <c r="BG9">
        <v>135</v>
      </c>
      <c r="BH9">
        <v>137</v>
      </c>
      <c r="BI9">
        <v>134</v>
      </c>
      <c r="BJ9">
        <v>134</v>
      </c>
      <c r="BK9">
        <v>140</v>
      </c>
      <c r="BL9">
        <v>140</v>
      </c>
      <c r="BM9">
        <v>141</v>
      </c>
      <c r="BN9">
        <v>141</v>
      </c>
      <c r="BO9">
        <v>145</v>
      </c>
      <c r="BP9" s="5">
        <v>144</v>
      </c>
      <c r="BQ9">
        <v>145</v>
      </c>
      <c r="BR9">
        <v>144</v>
      </c>
      <c r="BS9">
        <v>139</v>
      </c>
      <c r="BT9">
        <v>138</v>
      </c>
      <c r="BU9">
        <v>139</v>
      </c>
      <c r="BV9">
        <v>138</v>
      </c>
      <c r="BW9">
        <v>141</v>
      </c>
      <c r="BX9">
        <v>140</v>
      </c>
      <c r="BY9">
        <v>141</v>
      </c>
      <c r="BZ9">
        <v>141</v>
      </c>
      <c r="CA9" s="3">
        <f t="shared" si="3"/>
        <v>139.85</v>
      </c>
      <c r="CB9">
        <v>132</v>
      </c>
      <c r="CC9">
        <v>131</v>
      </c>
      <c r="CD9">
        <v>132</v>
      </c>
      <c r="CE9">
        <v>131</v>
      </c>
      <c r="CF9">
        <v>135</v>
      </c>
      <c r="CG9">
        <v>134</v>
      </c>
      <c r="CH9">
        <v>133</v>
      </c>
      <c r="CI9">
        <v>133</v>
      </c>
      <c r="CJ9">
        <v>135</v>
      </c>
      <c r="CK9">
        <v>134</v>
      </c>
      <c r="CL9">
        <v>136</v>
      </c>
      <c r="CM9">
        <v>135</v>
      </c>
      <c r="CN9" s="5">
        <v>133</v>
      </c>
      <c r="CO9">
        <v>134</v>
      </c>
      <c r="CP9">
        <v>134</v>
      </c>
      <c r="CQ9">
        <v>138</v>
      </c>
      <c r="CR9">
        <v>137</v>
      </c>
      <c r="CS9">
        <v>136</v>
      </c>
      <c r="CT9" s="3">
        <f t="shared" si="4"/>
        <v>134.05555555555554</v>
      </c>
    </row>
    <row r="10" spans="1:98" x14ac:dyDescent="0.25">
      <c r="A10" s="1" t="s">
        <v>99</v>
      </c>
      <c r="B10">
        <v>115</v>
      </c>
      <c r="C10">
        <v>115</v>
      </c>
      <c r="D10">
        <v>114</v>
      </c>
      <c r="E10">
        <v>115</v>
      </c>
      <c r="F10">
        <v>121</v>
      </c>
      <c r="G10">
        <v>122</v>
      </c>
      <c r="H10">
        <v>121</v>
      </c>
      <c r="I10">
        <v>121</v>
      </c>
      <c r="J10">
        <v>125</v>
      </c>
      <c r="K10">
        <v>125</v>
      </c>
      <c r="L10">
        <v>125</v>
      </c>
      <c r="M10">
        <v>124</v>
      </c>
      <c r="N10">
        <v>121</v>
      </c>
      <c r="O10">
        <v>121</v>
      </c>
      <c r="P10">
        <v>123</v>
      </c>
      <c r="Q10">
        <v>120</v>
      </c>
      <c r="R10">
        <v>126</v>
      </c>
      <c r="S10">
        <v>128</v>
      </c>
      <c r="T10">
        <v>127</v>
      </c>
      <c r="U10">
        <v>126</v>
      </c>
      <c r="V10" s="3">
        <f t="shared" si="0"/>
        <v>121.75</v>
      </c>
      <c r="W10">
        <v>110</v>
      </c>
      <c r="X10">
        <v>113</v>
      </c>
      <c r="Y10">
        <v>114</v>
      </c>
      <c r="Z10" s="5">
        <v>124</v>
      </c>
      <c r="AA10">
        <v>125</v>
      </c>
      <c r="AB10">
        <v>125</v>
      </c>
      <c r="AC10">
        <v>123</v>
      </c>
      <c r="AD10">
        <v>124</v>
      </c>
      <c r="AE10">
        <v>123</v>
      </c>
      <c r="AF10">
        <v>122</v>
      </c>
      <c r="AG10">
        <v>123</v>
      </c>
      <c r="AH10">
        <v>118</v>
      </c>
      <c r="AI10">
        <v>119</v>
      </c>
      <c r="AJ10">
        <v>120</v>
      </c>
      <c r="AK10" s="3">
        <f t="shared" si="1"/>
        <v>120.21428571428571</v>
      </c>
      <c r="AL10">
        <v>116</v>
      </c>
      <c r="AM10">
        <v>117</v>
      </c>
      <c r="AN10">
        <v>119</v>
      </c>
      <c r="AO10">
        <v>117</v>
      </c>
      <c r="AP10">
        <v>115</v>
      </c>
      <c r="AQ10">
        <v>116</v>
      </c>
      <c r="AR10">
        <v>113</v>
      </c>
      <c r="AS10">
        <v>113</v>
      </c>
      <c r="AT10" s="5">
        <v>113</v>
      </c>
      <c r="AU10">
        <v>111</v>
      </c>
      <c r="AV10">
        <v>110</v>
      </c>
      <c r="AW10">
        <v>110</v>
      </c>
      <c r="AX10">
        <v>115</v>
      </c>
      <c r="AY10">
        <v>113</v>
      </c>
      <c r="AZ10">
        <v>112</v>
      </c>
      <c r="BA10">
        <v>115</v>
      </c>
      <c r="BB10">
        <v>112</v>
      </c>
      <c r="BC10">
        <v>113</v>
      </c>
      <c r="BD10">
        <v>113</v>
      </c>
      <c r="BE10">
        <v>114</v>
      </c>
      <c r="BF10" s="3">
        <f t="shared" si="2"/>
        <v>113.85</v>
      </c>
      <c r="BG10">
        <v>101</v>
      </c>
      <c r="BH10">
        <v>98</v>
      </c>
      <c r="BI10">
        <v>101</v>
      </c>
      <c r="BJ10">
        <v>101</v>
      </c>
      <c r="BK10">
        <v>108</v>
      </c>
      <c r="BL10">
        <v>108</v>
      </c>
      <c r="BM10">
        <v>109</v>
      </c>
      <c r="BN10">
        <v>109</v>
      </c>
      <c r="BO10">
        <v>110</v>
      </c>
      <c r="BP10" s="5">
        <v>109</v>
      </c>
      <c r="BQ10">
        <v>109</v>
      </c>
      <c r="BR10">
        <v>109</v>
      </c>
      <c r="BS10">
        <v>103</v>
      </c>
      <c r="BT10">
        <v>102</v>
      </c>
      <c r="BU10">
        <v>104</v>
      </c>
      <c r="BV10">
        <v>103</v>
      </c>
      <c r="BW10">
        <v>106</v>
      </c>
      <c r="BX10">
        <v>106</v>
      </c>
      <c r="BY10">
        <v>106</v>
      </c>
      <c r="BZ10">
        <v>105</v>
      </c>
      <c r="CA10" s="3">
        <f t="shared" si="3"/>
        <v>105.35</v>
      </c>
      <c r="CB10">
        <v>85</v>
      </c>
      <c r="CC10">
        <v>87</v>
      </c>
      <c r="CD10">
        <v>87</v>
      </c>
      <c r="CE10">
        <v>86</v>
      </c>
      <c r="CF10">
        <v>91</v>
      </c>
      <c r="CG10">
        <v>93</v>
      </c>
      <c r="CH10">
        <v>93</v>
      </c>
      <c r="CI10">
        <v>92</v>
      </c>
      <c r="CJ10">
        <v>89</v>
      </c>
      <c r="CK10">
        <v>90</v>
      </c>
      <c r="CL10">
        <v>89</v>
      </c>
      <c r="CM10">
        <v>87</v>
      </c>
      <c r="CN10" s="5">
        <v>92</v>
      </c>
      <c r="CO10">
        <v>91</v>
      </c>
      <c r="CP10">
        <v>92</v>
      </c>
      <c r="CQ10">
        <v>92</v>
      </c>
      <c r="CR10">
        <v>91</v>
      </c>
      <c r="CS10">
        <v>92</v>
      </c>
      <c r="CT10" s="3">
        <f t="shared" si="4"/>
        <v>89.944444444444443</v>
      </c>
    </row>
    <row r="11" spans="1:98" x14ac:dyDescent="0.25">
      <c r="A11" s="1" t="s">
        <v>100</v>
      </c>
      <c r="B11">
        <v>161</v>
      </c>
      <c r="C11">
        <v>162</v>
      </c>
      <c r="D11">
        <v>162</v>
      </c>
      <c r="E11">
        <v>160</v>
      </c>
      <c r="F11">
        <v>159</v>
      </c>
      <c r="G11">
        <v>159</v>
      </c>
      <c r="H11">
        <v>159</v>
      </c>
      <c r="I11">
        <v>160</v>
      </c>
      <c r="J11">
        <v>158</v>
      </c>
      <c r="K11">
        <v>158</v>
      </c>
      <c r="L11">
        <v>158</v>
      </c>
      <c r="M11">
        <v>159</v>
      </c>
      <c r="N11">
        <v>161</v>
      </c>
      <c r="O11">
        <v>164</v>
      </c>
      <c r="P11">
        <v>162</v>
      </c>
      <c r="Q11">
        <v>164</v>
      </c>
      <c r="R11">
        <v>166</v>
      </c>
      <c r="S11">
        <v>167</v>
      </c>
      <c r="T11">
        <v>167</v>
      </c>
      <c r="U11">
        <v>166</v>
      </c>
      <c r="V11" s="3">
        <f t="shared" si="0"/>
        <v>161.6</v>
      </c>
      <c r="W11">
        <v>166</v>
      </c>
      <c r="X11">
        <v>165</v>
      </c>
      <c r="Y11">
        <v>166</v>
      </c>
      <c r="Z11" s="5">
        <v>166</v>
      </c>
      <c r="AA11">
        <v>166</v>
      </c>
      <c r="AB11">
        <v>167</v>
      </c>
      <c r="AC11">
        <v>165</v>
      </c>
      <c r="AD11">
        <v>167</v>
      </c>
      <c r="AE11">
        <v>165</v>
      </c>
      <c r="AF11">
        <v>165</v>
      </c>
      <c r="AG11">
        <v>177</v>
      </c>
      <c r="AH11">
        <v>180</v>
      </c>
      <c r="AI11">
        <v>161</v>
      </c>
      <c r="AJ11">
        <v>164</v>
      </c>
      <c r="AK11" s="3">
        <f t="shared" si="1"/>
        <v>167.14285714285714</v>
      </c>
      <c r="AL11">
        <v>167</v>
      </c>
      <c r="AM11">
        <v>168</v>
      </c>
      <c r="AN11">
        <v>168</v>
      </c>
      <c r="AO11">
        <v>168</v>
      </c>
      <c r="AP11">
        <v>169</v>
      </c>
      <c r="AQ11">
        <v>167</v>
      </c>
      <c r="AR11">
        <v>167</v>
      </c>
      <c r="AS11">
        <v>166</v>
      </c>
      <c r="AT11" s="5">
        <v>165</v>
      </c>
      <c r="AU11">
        <v>166</v>
      </c>
      <c r="AV11">
        <v>165</v>
      </c>
      <c r="AW11">
        <v>169</v>
      </c>
      <c r="AX11">
        <v>165</v>
      </c>
      <c r="AY11">
        <v>170</v>
      </c>
      <c r="AZ11">
        <v>162</v>
      </c>
      <c r="BA11">
        <v>167</v>
      </c>
      <c r="BB11">
        <v>159</v>
      </c>
      <c r="BC11">
        <v>159</v>
      </c>
      <c r="BD11">
        <v>160</v>
      </c>
      <c r="BE11">
        <v>160</v>
      </c>
      <c r="BF11" s="3">
        <f t="shared" si="2"/>
        <v>165.35</v>
      </c>
      <c r="BG11">
        <v>157</v>
      </c>
      <c r="BH11">
        <v>158</v>
      </c>
      <c r="BI11">
        <v>159</v>
      </c>
      <c r="BJ11">
        <v>158</v>
      </c>
      <c r="BK11">
        <v>194</v>
      </c>
      <c r="BL11">
        <v>179</v>
      </c>
      <c r="BM11">
        <v>187</v>
      </c>
      <c r="BN11">
        <v>183</v>
      </c>
      <c r="BO11">
        <v>166</v>
      </c>
      <c r="BP11" s="5">
        <v>166</v>
      </c>
      <c r="BQ11">
        <v>173</v>
      </c>
      <c r="BR11">
        <v>163</v>
      </c>
      <c r="BS11">
        <v>160</v>
      </c>
      <c r="BT11">
        <v>161</v>
      </c>
      <c r="BU11">
        <v>161</v>
      </c>
      <c r="BV11">
        <v>161</v>
      </c>
      <c r="BW11">
        <v>162</v>
      </c>
      <c r="BX11">
        <v>163</v>
      </c>
      <c r="BY11">
        <v>163</v>
      </c>
      <c r="BZ11">
        <v>163</v>
      </c>
      <c r="CA11" s="3">
        <f t="shared" si="3"/>
        <v>166.85</v>
      </c>
      <c r="CB11">
        <v>195</v>
      </c>
      <c r="CC11">
        <v>165</v>
      </c>
      <c r="CD11">
        <v>182</v>
      </c>
      <c r="CE11">
        <v>188</v>
      </c>
      <c r="CF11">
        <v>160</v>
      </c>
      <c r="CG11">
        <v>160</v>
      </c>
      <c r="CH11">
        <v>160</v>
      </c>
      <c r="CI11">
        <v>160</v>
      </c>
      <c r="CJ11">
        <v>163</v>
      </c>
      <c r="CK11">
        <v>163</v>
      </c>
      <c r="CL11">
        <v>163</v>
      </c>
      <c r="CM11">
        <v>162</v>
      </c>
      <c r="CN11" s="5">
        <v>158</v>
      </c>
      <c r="CO11">
        <v>159</v>
      </c>
      <c r="CP11">
        <v>158</v>
      </c>
      <c r="CQ11">
        <v>169</v>
      </c>
      <c r="CR11">
        <v>163</v>
      </c>
      <c r="CS11">
        <v>163</v>
      </c>
      <c r="CT11" s="3">
        <f t="shared" si="4"/>
        <v>166.16666666666666</v>
      </c>
    </row>
    <row r="12" spans="1:98" x14ac:dyDescent="0.25">
      <c r="A12" s="1" t="s">
        <v>101</v>
      </c>
      <c r="B12">
        <v>164</v>
      </c>
      <c r="C12">
        <v>163</v>
      </c>
      <c r="D12">
        <v>163</v>
      </c>
      <c r="E12">
        <v>161</v>
      </c>
      <c r="F12">
        <v>160</v>
      </c>
      <c r="G12">
        <v>160</v>
      </c>
      <c r="H12">
        <v>161</v>
      </c>
      <c r="I12">
        <v>160</v>
      </c>
      <c r="J12">
        <v>161</v>
      </c>
      <c r="K12">
        <v>163</v>
      </c>
      <c r="L12">
        <v>162</v>
      </c>
      <c r="M12">
        <v>162</v>
      </c>
      <c r="N12">
        <v>167</v>
      </c>
      <c r="O12">
        <v>168</v>
      </c>
      <c r="P12">
        <v>166</v>
      </c>
      <c r="Q12">
        <v>168</v>
      </c>
      <c r="R12">
        <v>169</v>
      </c>
      <c r="S12">
        <v>169</v>
      </c>
      <c r="T12">
        <v>170</v>
      </c>
      <c r="U12">
        <v>170</v>
      </c>
      <c r="V12" s="3">
        <f t="shared" si="0"/>
        <v>164.35</v>
      </c>
      <c r="W12">
        <v>163</v>
      </c>
      <c r="X12">
        <v>163</v>
      </c>
      <c r="Y12">
        <v>163</v>
      </c>
      <c r="Z12" s="5">
        <v>166</v>
      </c>
      <c r="AA12">
        <v>165</v>
      </c>
      <c r="AB12">
        <v>168</v>
      </c>
      <c r="AC12">
        <v>163</v>
      </c>
      <c r="AD12">
        <v>164</v>
      </c>
      <c r="AE12">
        <v>164</v>
      </c>
      <c r="AF12">
        <v>165</v>
      </c>
      <c r="AG12">
        <v>175</v>
      </c>
      <c r="AH12">
        <v>178</v>
      </c>
      <c r="AI12">
        <v>160</v>
      </c>
      <c r="AJ12">
        <v>161</v>
      </c>
      <c r="AK12" s="3">
        <f t="shared" si="1"/>
        <v>165.57142857142858</v>
      </c>
      <c r="AL12">
        <v>164</v>
      </c>
      <c r="AM12">
        <v>165</v>
      </c>
      <c r="AN12">
        <v>165</v>
      </c>
      <c r="AO12">
        <v>164</v>
      </c>
      <c r="AP12">
        <v>169</v>
      </c>
      <c r="AQ12">
        <v>164</v>
      </c>
      <c r="AR12">
        <v>165</v>
      </c>
      <c r="AS12">
        <v>163</v>
      </c>
      <c r="AT12" s="5">
        <v>164</v>
      </c>
      <c r="AU12">
        <v>164</v>
      </c>
      <c r="AV12">
        <v>162</v>
      </c>
      <c r="AW12">
        <v>166</v>
      </c>
      <c r="AX12">
        <v>165</v>
      </c>
      <c r="AY12">
        <v>166</v>
      </c>
      <c r="AZ12">
        <v>162</v>
      </c>
      <c r="BA12">
        <v>163</v>
      </c>
      <c r="BB12">
        <v>156</v>
      </c>
      <c r="BC12">
        <v>156</v>
      </c>
      <c r="BD12">
        <v>158</v>
      </c>
      <c r="BE12">
        <v>158</v>
      </c>
      <c r="BF12" s="3">
        <f t="shared" si="2"/>
        <v>162.94999999999999</v>
      </c>
      <c r="BG12">
        <v>153</v>
      </c>
      <c r="BH12">
        <v>160</v>
      </c>
      <c r="BI12">
        <v>156</v>
      </c>
      <c r="BJ12">
        <v>152</v>
      </c>
      <c r="BK12">
        <v>185</v>
      </c>
      <c r="BL12">
        <v>173</v>
      </c>
      <c r="BM12">
        <v>184</v>
      </c>
      <c r="BN12">
        <v>177</v>
      </c>
      <c r="BO12">
        <v>159</v>
      </c>
      <c r="BP12" s="5">
        <v>157</v>
      </c>
      <c r="BQ12">
        <v>170</v>
      </c>
      <c r="BR12">
        <v>159</v>
      </c>
      <c r="BS12">
        <v>156</v>
      </c>
      <c r="BT12">
        <v>155</v>
      </c>
      <c r="BU12">
        <v>156</v>
      </c>
      <c r="BV12">
        <v>156</v>
      </c>
      <c r="BW12">
        <v>156</v>
      </c>
      <c r="BX12">
        <v>157</v>
      </c>
      <c r="BY12">
        <v>157</v>
      </c>
      <c r="BZ12">
        <v>156</v>
      </c>
      <c r="CA12" s="3">
        <f t="shared" si="3"/>
        <v>161.69999999999999</v>
      </c>
      <c r="CB12">
        <v>186</v>
      </c>
      <c r="CC12">
        <v>154</v>
      </c>
      <c r="CD12">
        <v>173</v>
      </c>
      <c r="CE12">
        <v>176</v>
      </c>
      <c r="CF12">
        <v>154</v>
      </c>
      <c r="CG12">
        <v>154</v>
      </c>
      <c r="CH12">
        <v>152</v>
      </c>
      <c r="CI12">
        <v>152</v>
      </c>
      <c r="CJ12">
        <v>158</v>
      </c>
      <c r="CK12">
        <v>152</v>
      </c>
      <c r="CL12">
        <v>156</v>
      </c>
      <c r="CM12">
        <v>156</v>
      </c>
      <c r="CN12" s="5">
        <v>153</v>
      </c>
      <c r="CO12">
        <v>158</v>
      </c>
      <c r="CP12">
        <v>153</v>
      </c>
      <c r="CQ12">
        <v>157</v>
      </c>
      <c r="CR12">
        <v>154</v>
      </c>
      <c r="CS12">
        <v>154</v>
      </c>
      <c r="CT12" s="3">
        <f t="shared" si="4"/>
        <v>158.44444444444446</v>
      </c>
    </row>
    <row r="13" spans="1:98" x14ac:dyDescent="0.25">
      <c r="A13" s="1" t="s">
        <v>102</v>
      </c>
      <c r="B13">
        <v>134</v>
      </c>
      <c r="C13">
        <v>135</v>
      </c>
      <c r="D13">
        <v>135</v>
      </c>
      <c r="E13">
        <v>134</v>
      </c>
      <c r="F13">
        <v>138</v>
      </c>
      <c r="G13">
        <v>140</v>
      </c>
      <c r="H13">
        <v>140</v>
      </c>
      <c r="I13">
        <v>139</v>
      </c>
      <c r="J13">
        <v>143</v>
      </c>
      <c r="K13">
        <v>141</v>
      </c>
      <c r="L13">
        <v>145</v>
      </c>
      <c r="M13">
        <v>144</v>
      </c>
      <c r="N13">
        <v>143</v>
      </c>
      <c r="O13">
        <v>144</v>
      </c>
      <c r="P13">
        <v>141</v>
      </c>
      <c r="Q13">
        <v>143</v>
      </c>
      <c r="R13">
        <v>143</v>
      </c>
      <c r="S13">
        <v>143</v>
      </c>
      <c r="T13">
        <v>143</v>
      </c>
      <c r="U13">
        <v>143</v>
      </c>
      <c r="V13" s="3">
        <f t="shared" si="0"/>
        <v>140.55000000000001</v>
      </c>
      <c r="W13">
        <v>138</v>
      </c>
      <c r="X13">
        <v>136</v>
      </c>
      <c r="Y13">
        <v>135</v>
      </c>
      <c r="Z13" s="5">
        <v>144</v>
      </c>
      <c r="AA13">
        <v>143</v>
      </c>
      <c r="AB13">
        <v>145</v>
      </c>
      <c r="AC13">
        <v>141</v>
      </c>
      <c r="AD13">
        <v>141</v>
      </c>
      <c r="AE13">
        <v>143</v>
      </c>
      <c r="AF13">
        <v>142</v>
      </c>
      <c r="AG13">
        <v>152</v>
      </c>
      <c r="AH13">
        <v>157</v>
      </c>
      <c r="AI13">
        <v>138</v>
      </c>
      <c r="AJ13">
        <v>139</v>
      </c>
      <c r="AK13" s="3">
        <f t="shared" si="1"/>
        <v>142.42857142857142</v>
      </c>
      <c r="AL13">
        <v>138</v>
      </c>
      <c r="AM13">
        <v>137</v>
      </c>
      <c r="AN13">
        <v>141</v>
      </c>
      <c r="AO13">
        <v>139</v>
      </c>
      <c r="AP13">
        <v>142</v>
      </c>
      <c r="AQ13">
        <v>139</v>
      </c>
      <c r="AR13">
        <v>142</v>
      </c>
      <c r="AS13">
        <v>135</v>
      </c>
      <c r="AT13" s="5">
        <v>140</v>
      </c>
      <c r="AU13">
        <v>139</v>
      </c>
      <c r="AV13">
        <v>131</v>
      </c>
      <c r="AW13">
        <v>136</v>
      </c>
      <c r="AX13">
        <v>141</v>
      </c>
      <c r="AY13">
        <v>141</v>
      </c>
      <c r="AZ13">
        <v>141</v>
      </c>
      <c r="BA13">
        <v>139</v>
      </c>
      <c r="BB13">
        <v>132</v>
      </c>
      <c r="BC13">
        <v>134</v>
      </c>
      <c r="BD13">
        <v>136</v>
      </c>
      <c r="BE13">
        <v>134</v>
      </c>
      <c r="BF13" s="3">
        <f t="shared" si="2"/>
        <v>137.85</v>
      </c>
      <c r="BG13">
        <v>129</v>
      </c>
      <c r="BH13">
        <v>131</v>
      </c>
      <c r="BI13">
        <v>123</v>
      </c>
      <c r="BJ13">
        <v>129</v>
      </c>
      <c r="BK13">
        <v>154</v>
      </c>
      <c r="BL13">
        <v>140</v>
      </c>
      <c r="BM13">
        <v>151</v>
      </c>
      <c r="BN13">
        <v>145</v>
      </c>
      <c r="BO13">
        <v>138</v>
      </c>
      <c r="BP13" s="5">
        <v>131</v>
      </c>
      <c r="BQ13">
        <v>137</v>
      </c>
      <c r="BR13">
        <v>125</v>
      </c>
      <c r="BS13">
        <v>123</v>
      </c>
      <c r="BT13">
        <v>123</v>
      </c>
      <c r="BU13">
        <v>125</v>
      </c>
      <c r="BV13">
        <v>125</v>
      </c>
      <c r="BW13">
        <v>131</v>
      </c>
      <c r="BX13">
        <v>128</v>
      </c>
      <c r="BY13">
        <v>124</v>
      </c>
      <c r="BZ13">
        <v>125</v>
      </c>
      <c r="CA13" s="3">
        <f t="shared" si="3"/>
        <v>131.85</v>
      </c>
      <c r="CB13">
        <v>141</v>
      </c>
      <c r="CC13">
        <v>131</v>
      </c>
      <c r="CD13">
        <v>130</v>
      </c>
      <c r="CE13">
        <v>134</v>
      </c>
      <c r="CF13">
        <v>130</v>
      </c>
      <c r="CG13">
        <v>131</v>
      </c>
      <c r="CH13">
        <v>123</v>
      </c>
      <c r="CI13">
        <v>127</v>
      </c>
      <c r="CJ13">
        <v>134</v>
      </c>
      <c r="CK13">
        <v>111</v>
      </c>
      <c r="CL13">
        <v>123</v>
      </c>
      <c r="CM13">
        <v>127</v>
      </c>
      <c r="CN13" s="5">
        <v>127</v>
      </c>
      <c r="CO13">
        <v>135</v>
      </c>
      <c r="CP13">
        <v>118</v>
      </c>
      <c r="CQ13">
        <v>121</v>
      </c>
      <c r="CR13">
        <v>114</v>
      </c>
      <c r="CS13">
        <v>115</v>
      </c>
      <c r="CT13" s="3">
        <f t="shared" si="4"/>
        <v>126.22222222222223</v>
      </c>
    </row>
    <row r="14" spans="1:98" x14ac:dyDescent="0.25">
      <c r="A14" s="1" t="s">
        <v>103</v>
      </c>
      <c r="B14">
        <v>152</v>
      </c>
      <c r="C14">
        <v>151</v>
      </c>
      <c r="D14">
        <v>151</v>
      </c>
      <c r="E14">
        <v>151</v>
      </c>
      <c r="F14">
        <v>151</v>
      </c>
      <c r="G14">
        <v>151</v>
      </c>
      <c r="H14">
        <v>151</v>
      </c>
      <c r="I14">
        <v>152</v>
      </c>
      <c r="J14">
        <v>151</v>
      </c>
      <c r="K14">
        <v>152</v>
      </c>
      <c r="L14">
        <v>152</v>
      </c>
      <c r="M14">
        <v>151</v>
      </c>
      <c r="N14">
        <v>152</v>
      </c>
      <c r="O14">
        <v>152</v>
      </c>
      <c r="P14">
        <v>154</v>
      </c>
      <c r="Q14">
        <v>154</v>
      </c>
      <c r="R14">
        <v>160</v>
      </c>
      <c r="S14">
        <v>160</v>
      </c>
      <c r="T14">
        <v>160</v>
      </c>
      <c r="U14">
        <v>160</v>
      </c>
      <c r="V14" s="3">
        <f t="shared" si="0"/>
        <v>153.4</v>
      </c>
      <c r="W14">
        <v>157</v>
      </c>
      <c r="X14">
        <v>158</v>
      </c>
      <c r="Y14">
        <v>157</v>
      </c>
      <c r="Z14" s="5">
        <v>160</v>
      </c>
      <c r="AA14">
        <v>159</v>
      </c>
      <c r="AB14">
        <v>160</v>
      </c>
      <c r="AC14">
        <v>157</v>
      </c>
      <c r="AD14">
        <v>156</v>
      </c>
      <c r="AE14">
        <v>157</v>
      </c>
      <c r="AF14">
        <v>157</v>
      </c>
      <c r="AG14">
        <v>157</v>
      </c>
      <c r="AH14">
        <v>156</v>
      </c>
      <c r="AI14">
        <v>154</v>
      </c>
      <c r="AJ14">
        <v>156</v>
      </c>
      <c r="AK14" s="3">
        <f t="shared" si="1"/>
        <v>157.21428571428572</v>
      </c>
      <c r="AL14">
        <v>159</v>
      </c>
      <c r="AM14">
        <v>160</v>
      </c>
      <c r="AN14">
        <v>159</v>
      </c>
      <c r="AO14">
        <v>159</v>
      </c>
      <c r="AP14">
        <v>159</v>
      </c>
      <c r="AQ14">
        <v>159</v>
      </c>
      <c r="AR14">
        <v>158</v>
      </c>
      <c r="AS14">
        <v>158</v>
      </c>
      <c r="AT14" s="5">
        <v>158</v>
      </c>
      <c r="AU14">
        <v>158</v>
      </c>
      <c r="AV14">
        <v>158</v>
      </c>
      <c r="AW14">
        <v>157</v>
      </c>
      <c r="AX14">
        <v>156</v>
      </c>
      <c r="AY14">
        <v>156</v>
      </c>
      <c r="AZ14">
        <v>156</v>
      </c>
      <c r="BA14">
        <v>155</v>
      </c>
      <c r="BB14">
        <v>153</v>
      </c>
      <c r="BC14">
        <v>154</v>
      </c>
      <c r="BD14">
        <v>154</v>
      </c>
      <c r="BE14">
        <v>155</v>
      </c>
      <c r="BF14" s="3">
        <f t="shared" si="2"/>
        <v>157.05000000000001</v>
      </c>
      <c r="BG14">
        <v>149</v>
      </c>
      <c r="BH14">
        <v>150</v>
      </c>
      <c r="BI14">
        <v>150</v>
      </c>
      <c r="BJ14">
        <v>149</v>
      </c>
      <c r="BK14">
        <v>157</v>
      </c>
      <c r="BL14">
        <v>156</v>
      </c>
      <c r="BM14">
        <v>157</v>
      </c>
      <c r="BN14">
        <v>157</v>
      </c>
      <c r="BO14">
        <v>157</v>
      </c>
      <c r="BP14" s="5">
        <v>157</v>
      </c>
      <c r="BQ14">
        <v>157</v>
      </c>
      <c r="BR14">
        <v>157</v>
      </c>
      <c r="BS14">
        <v>153</v>
      </c>
      <c r="BT14">
        <v>153</v>
      </c>
      <c r="BU14">
        <v>153</v>
      </c>
      <c r="BV14">
        <v>154</v>
      </c>
      <c r="BW14">
        <v>155</v>
      </c>
      <c r="BX14">
        <v>155</v>
      </c>
      <c r="BY14">
        <v>155</v>
      </c>
      <c r="BZ14">
        <v>155</v>
      </c>
      <c r="CA14" s="3">
        <f t="shared" si="3"/>
        <v>154.30000000000001</v>
      </c>
      <c r="CB14">
        <v>151</v>
      </c>
      <c r="CC14">
        <v>151</v>
      </c>
      <c r="CD14">
        <v>151</v>
      </c>
      <c r="CE14">
        <v>151</v>
      </c>
      <c r="CF14">
        <v>152</v>
      </c>
      <c r="CG14">
        <v>152</v>
      </c>
      <c r="CH14">
        <v>153</v>
      </c>
      <c r="CI14">
        <v>152</v>
      </c>
      <c r="CJ14">
        <v>155</v>
      </c>
      <c r="CK14">
        <v>155</v>
      </c>
      <c r="CL14">
        <v>154</v>
      </c>
      <c r="CM14">
        <v>154</v>
      </c>
      <c r="CN14" s="5">
        <v>151</v>
      </c>
      <c r="CO14">
        <v>151</v>
      </c>
      <c r="CP14">
        <v>151</v>
      </c>
      <c r="CQ14">
        <v>156</v>
      </c>
      <c r="CR14">
        <v>154</v>
      </c>
      <c r="CS14">
        <v>154</v>
      </c>
      <c r="CT14" s="3">
        <f t="shared" si="4"/>
        <v>152.66666666666666</v>
      </c>
    </row>
    <row r="15" spans="1:98" x14ac:dyDescent="0.25">
      <c r="A15" s="1" t="s">
        <v>104</v>
      </c>
      <c r="B15">
        <v>152</v>
      </c>
      <c r="C15">
        <v>155</v>
      </c>
      <c r="D15">
        <v>154</v>
      </c>
      <c r="E15">
        <v>152</v>
      </c>
      <c r="F15">
        <v>151</v>
      </c>
      <c r="G15">
        <v>153</v>
      </c>
      <c r="H15">
        <v>154</v>
      </c>
      <c r="I15">
        <v>154</v>
      </c>
      <c r="J15">
        <v>153</v>
      </c>
      <c r="K15">
        <v>154</v>
      </c>
      <c r="L15">
        <v>154</v>
      </c>
      <c r="M15">
        <v>154</v>
      </c>
      <c r="N15">
        <v>154</v>
      </c>
      <c r="O15">
        <v>155</v>
      </c>
      <c r="P15">
        <v>156</v>
      </c>
      <c r="Q15">
        <v>156</v>
      </c>
      <c r="R15">
        <v>162</v>
      </c>
      <c r="S15">
        <v>163</v>
      </c>
      <c r="T15">
        <v>162</v>
      </c>
      <c r="U15">
        <v>162</v>
      </c>
      <c r="V15" s="3">
        <f t="shared" si="0"/>
        <v>155.5</v>
      </c>
      <c r="W15">
        <v>155</v>
      </c>
      <c r="X15">
        <v>155</v>
      </c>
      <c r="Y15">
        <v>155</v>
      </c>
      <c r="Z15" s="5">
        <v>159</v>
      </c>
      <c r="AA15">
        <v>159</v>
      </c>
      <c r="AB15">
        <v>160</v>
      </c>
      <c r="AC15">
        <v>156</v>
      </c>
      <c r="AD15">
        <v>157</v>
      </c>
      <c r="AE15">
        <v>157</v>
      </c>
      <c r="AF15">
        <v>157</v>
      </c>
      <c r="AG15">
        <v>153</v>
      </c>
      <c r="AH15">
        <v>153</v>
      </c>
      <c r="AI15">
        <v>153</v>
      </c>
      <c r="AJ15">
        <v>152</v>
      </c>
      <c r="AK15" s="3">
        <f t="shared" si="1"/>
        <v>155.78571428571428</v>
      </c>
      <c r="AL15">
        <v>157</v>
      </c>
      <c r="AM15">
        <v>155</v>
      </c>
      <c r="AN15">
        <v>158</v>
      </c>
      <c r="AO15">
        <v>155</v>
      </c>
      <c r="AP15">
        <v>154</v>
      </c>
      <c r="AQ15">
        <v>155</v>
      </c>
      <c r="AR15">
        <v>154</v>
      </c>
      <c r="AS15">
        <v>154</v>
      </c>
      <c r="AT15" s="5">
        <v>154</v>
      </c>
      <c r="AU15">
        <v>154</v>
      </c>
      <c r="AV15">
        <v>154</v>
      </c>
      <c r="AW15">
        <v>154</v>
      </c>
      <c r="AX15">
        <v>152</v>
      </c>
      <c r="AY15">
        <v>152</v>
      </c>
      <c r="AZ15">
        <v>152</v>
      </c>
      <c r="BA15">
        <v>152</v>
      </c>
      <c r="BB15">
        <v>150</v>
      </c>
      <c r="BC15">
        <v>150</v>
      </c>
      <c r="BD15">
        <v>150</v>
      </c>
      <c r="BE15">
        <v>151</v>
      </c>
      <c r="BF15" s="3">
        <f t="shared" si="2"/>
        <v>153.35</v>
      </c>
      <c r="BG15">
        <v>143</v>
      </c>
      <c r="BH15">
        <v>148</v>
      </c>
      <c r="BI15">
        <v>144</v>
      </c>
      <c r="BJ15">
        <v>144</v>
      </c>
      <c r="BK15">
        <v>149</v>
      </c>
      <c r="BL15">
        <v>149</v>
      </c>
      <c r="BM15">
        <v>148</v>
      </c>
      <c r="BN15">
        <v>149</v>
      </c>
      <c r="BO15">
        <v>151</v>
      </c>
      <c r="BP15" s="5">
        <v>151</v>
      </c>
      <c r="BQ15">
        <v>151</v>
      </c>
      <c r="BR15">
        <v>151</v>
      </c>
      <c r="BS15">
        <v>146</v>
      </c>
      <c r="BT15">
        <v>146</v>
      </c>
      <c r="BU15">
        <v>147</v>
      </c>
      <c r="BV15">
        <v>146</v>
      </c>
      <c r="BW15">
        <v>148</v>
      </c>
      <c r="BX15">
        <v>149</v>
      </c>
      <c r="BY15">
        <v>148</v>
      </c>
      <c r="BZ15">
        <v>149</v>
      </c>
      <c r="CA15" s="3">
        <f t="shared" si="3"/>
        <v>147.85</v>
      </c>
      <c r="CB15">
        <v>140</v>
      </c>
      <c r="CC15">
        <v>140</v>
      </c>
      <c r="CD15">
        <v>140</v>
      </c>
      <c r="CE15">
        <v>141</v>
      </c>
      <c r="CF15">
        <v>142</v>
      </c>
      <c r="CG15">
        <v>142</v>
      </c>
      <c r="CH15">
        <v>141</v>
      </c>
      <c r="CI15">
        <v>141</v>
      </c>
      <c r="CJ15">
        <v>143</v>
      </c>
      <c r="CK15">
        <v>144</v>
      </c>
      <c r="CL15">
        <v>144</v>
      </c>
      <c r="CM15">
        <v>144</v>
      </c>
      <c r="CN15" s="5">
        <v>143</v>
      </c>
      <c r="CO15">
        <v>143</v>
      </c>
      <c r="CP15">
        <v>143</v>
      </c>
      <c r="CQ15">
        <v>147</v>
      </c>
      <c r="CR15">
        <v>146</v>
      </c>
      <c r="CS15">
        <v>147</v>
      </c>
      <c r="CT15" s="3">
        <f t="shared" si="4"/>
        <v>142.83333333333334</v>
      </c>
    </row>
    <row r="16" spans="1:98" x14ac:dyDescent="0.25">
      <c r="A16" s="1" t="s">
        <v>105</v>
      </c>
      <c r="B16">
        <v>124</v>
      </c>
      <c r="C16">
        <v>125</v>
      </c>
      <c r="D16">
        <v>125</v>
      </c>
      <c r="E16">
        <v>124</v>
      </c>
      <c r="F16">
        <v>130</v>
      </c>
      <c r="G16">
        <v>131</v>
      </c>
      <c r="H16">
        <v>131</v>
      </c>
      <c r="I16">
        <v>132</v>
      </c>
      <c r="J16">
        <v>133</v>
      </c>
      <c r="K16">
        <v>133</v>
      </c>
      <c r="L16">
        <v>132</v>
      </c>
      <c r="M16">
        <v>132</v>
      </c>
      <c r="N16">
        <v>130</v>
      </c>
      <c r="O16">
        <v>130</v>
      </c>
      <c r="P16">
        <v>132</v>
      </c>
      <c r="Q16">
        <v>132</v>
      </c>
      <c r="R16">
        <v>138</v>
      </c>
      <c r="S16">
        <v>137</v>
      </c>
      <c r="T16">
        <v>137</v>
      </c>
      <c r="U16">
        <v>137</v>
      </c>
      <c r="V16" s="3">
        <f t="shared" si="0"/>
        <v>131.25</v>
      </c>
      <c r="W16">
        <v>123</v>
      </c>
      <c r="X16">
        <v>123</v>
      </c>
      <c r="Y16">
        <v>123</v>
      </c>
      <c r="Z16" s="5">
        <v>137</v>
      </c>
      <c r="AA16">
        <v>136</v>
      </c>
      <c r="AB16">
        <v>138</v>
      </c>
      <c r="AC16">
        <v>133</v>
      </c>
      <c r="AD16">
        <v>132</v>
      </c>
      <c r="AE16">
        <v>134</v>
      </c>
      <c r="AF16">
        <v>133</v>
      </c>
      <c r="AG16">
        <v>132</v>
      </c>
      <c r="AH16">
        <v>131</v>
      </c>
      <c r="AI16">
        <v>131</v>
      </c>
      <c r="AJ16">
        <v>130</v>
      </c>
      <c r="AK16" s="3">
        <f t="shared" si="1"/>
        <v>131.14285714285714</v>
      </c>
      <c r="AL16">
        <v>126</v>
      </c>
      <c r="AM16">
        <v>126</v>
      </c>
      <c r="AN16">
        <v>128</v>
      </c>
      <c r="AO16">
        <v>125</v>
      </c>
      <c r="AP16">
        <v>126</v>
      </c>
      <c r="AQ16">
        <v>125</v>
      </c>
      <c r="AR16">
        <v>125</v>
      </c>
      <c r="AS16">
        <v>125</v>
      </c>
      <c r="AT16" s="5">
        <v>124</v>
      </c>
      <c r="AU16">
        <v>123</v>
      </c>
      <c r="AV16">
        <v>123</v>
      </c>
      <c r="AW16">
        <v>122</v>
      </c>
      <c r="AX16">
        <v>125</v>
      </c>
      <c r="AY16">
        <v>124</v>
      </c>
      <c r="AZ16">
        <v>126</v>
      </c>
      <c r="BA16">
        <v>124</v>
      </c>
      <c r="BB16">
        <v>120</v>
      </c>
      <c r="BC16">
        <v>120</v>
      </c>
      <c r="BD16">
        <v>121</v>
      </c>
      <c r="BE16">
        <v>121</v>
      </c>
      <c r="BF16" s="3">
        <f t="shared" si="2"/>
        <v>123.95</v>
      </c>
      <c r="BG16">
        <v>112</v>
      </c>
      <c r="BH16">
        <v>108</v>
      </c>
      <c r="BI16">
        <v>110</v>
      </c>
      <c r="BJ16">
        <v>111</v>
      </c>
      <c r="BK16">
        <v>117</v>
      </c>
      <c r="BL16">
        <v>116</v>
      </c>
      <c r="BM16">
        <v>117</v>
      </c>
      <c r="BN16">
        <v>117</v>
      </c>
      <c r="BO16">
        <v>117</v>
      </c>
      <c r="BP16" s="5">
        <v>117</v>
      </c>
      <c r="BQ16">
        <v>117</v>
      </c>
      <c r="BR16">
        <v>117</v>
      </c>
      <c r="BS16">
        <v>113</v>
      </c>
      <c r="BT16">
        <v>113</v>
      </c>
      <c r="BU16">
        <v>113</v>
      </c>
      <c r="BV16">
        <v>112</v>
      </c>
      <c r="BW16">
        <v>114</v>
      </c>
      <c r="BX16">
        <v>114</v>
      </c>
      <c r="BY16">
        <v>113</v>
      </c>
      <c r="BZ16">
        <v>114</v>
      </c>
      <c r="CA16" s="3">
        <f t="shared" si="3"/>
        <v>114.1</v>
      </c>
      <c r="CB16">
        <v>97</v>
      </c>
      <c r="CC16">
        <v>98</v>
      </c>
      <c r="CD16">
        <v>97</v>
      </c>
      <c r="CE16">
        <v>98</v>
      </c>
      <c r="CF16">
        <v>103</v>
      </c>
      <c r="CG16">
        <v>102</v>
      </c>
      <c r="CH16">
        <v>103</v>
      </c>
      <c r="CI16">
        <v>103</v>
      </c>
      <c r="CJ16">
        <v>99</v>
      </c>
      <c r="CK16">
        <v>100</v>
      </c>
      <c r="CL16">
        <v>99</v>
      </c>
      <c r="CM16">
        <v>98</v>
      </c>
      <c r="CN16" s="5">
        <v>102</v>
      </c>
      <c r="CO16">
        <v>102</v>
      </c>
      <c r="CP16">
        <v>102</v>
      </c>
      <c r="CQ16">
        <v>102</v>
      </c>
      <c r="CR16">
        <v>101</v>
      </c>
      <c r="CS16">
        <v>101</v>
      </c>
      <c r="CT16" s="3">
        <f t="shared" si="4"/>
        <v>100.38888888888889</v>
      </c>
    </row>
    <row r="17" spans="1:98" x14ac:dyDescent="0.25">
      <c r="A17" s="1" t="s">
        <v>117</v>
      </c>
      <c r="B17">
        <v>66</v>
      </c>
      <c r="C17">
        <v>64</v>
      </c>
      <c r="D17">
        <v>64</v>
      </c>
      <c r="E17">
        <v>62</v>
      </c>
      <c r="F17">
        <v>60</v>
      </c>
      <c r="G17">
        <v>60</v>
      </c>
      <c r="H17">
        <v>63</v>
      </c>
      <c r="I17">
        <v>60</v>
      </c>
      <c r="J17">
        <v>66</v>
      </c>
      <c r="K17">
        <v>69</v>
      </c>
      <c r="L17">
        <v>69</v>
      </c>
      <c r="M17">
        <v>69</v>
      </c>
      <c r="N17">
        <v>74</v>
      </c>
      <c r="O17">
        <v>70</v>
      </c>
      <c r="P17">
        <v>67</v>
      </c>
      <c r="Q17">
        <v>67</v>
      </c>
      <c r="R17">
        <v>66</v>
      </c>
      <c r="S17">
        <v>64</v>
      </c>
      <c r="T17">
        <v>67</v>
      </c>
      <c r="U17">
        <v>66</v>
      </c>
      <c r="V17" s="3">
        <f t="shared" si="0"/>
        <v>65.650000000000006</v>
      </c>
      <c r="W17">
        <v>56</v>
      </c>
      <c r="X17">
        <v>58</v>
      </c>
      <c r="Y17">
        <v>58</v>
      </c>
      <c r="Z17" s="5">
        <v>65</v>
      </c>
      <c r="AA17">
        <v>60</v>
      </c>
      <c r="AB17">
        <v>65</v>
      </c>
      <c r="AC17">
        <v>58</v>
      </c>
      <c r="AD17">
        <v>60</v>
      </c>
      <c r="AE17">
        <v>58</v>
      </c>
      <c r="AF17">
        <v>62</v>
      </c>
      <c r="AG17">
        <v>53</v>
      </c>
      <c r="AH17">
        <v>55</v>
      </c>
      <c r="AI17">
        <v>62</v>
      </c>
      <c r="AJ17">
        <v>55</v>
      </c>
      <c r="AK17" s="3">
        <f t="shared" si="1"/>
        <v>58.928571428571431</v>
      </c>
      <c r="AL17">
        <v>56</v>
      </c>
      <c r="AM17">
        <v>58</v>
      </c>
      <c r="AN17">
        <v>54</v>
      </c>
      <c r="AO17">
        <v>54</v>
      </c>
      <c r="AP17">
        <v>58</v>
      </c>
      <c r="AQ17">
        <v>56</v>
      </c>
      <c r="AR17">
        <v>56</v>
      </c>
      <c r="AS17">
        <v>56</v>
      </c>
      <c r="AT17" s="5">
        <v>56</v>
      </c>
      <c r="AU17">
        <v>54</v>
      </c>
      <c r="AV17">
        <v>55</v>
      </c>
      <c r="AW17">
        <v>55</v>
      </c>
      <c r="AX17">
        <v>58</v>
      </c>
      <c r="AY17">
        <v>58</v>
      </c>
      <c r="AZ17">
        <v>58</v>
      </c>
      <c r="BA17">
        <v>56</v>
      </c>
      <c r="BB17">
        <v>52</v>
      </c>
      <c r="BC17">
        <v>54</v>
      </c>
      <c r="BD17">
        <v>58</v>
      </c>
      <c r="BE17">
        <v>54</v>
      </c>
      <c r="BF17" s="3">
        <f t="shared" si="2"/>
        <v>55.8</v>
      </c>
      <c r="BG17">
        <v>53</v>
      </c>
      <c r="BH17">
        <v>58</v>
      </c>
      <c r="BI17">
        <v>54</v>
      </c>
      <c r="BJ17">
        <v>51</v>
      </c>
      <c r="BK17">
        <v>49</v>
      </c>
      <c r="BL17">
        <v>51</v>
      </c>
      <c r="BM17">
        <v>53</v>
      </c>
      <c r="BN17">
        <v>51</v>
      </c>
      <c r="BO17">
        <v>51</v>
      </c>
      <c r="BP17" s="5">
        <v>49</v>
      </c>
      <c r="BQ17">
        <v>54</v>
      </c>
      <c r="BR17">
        <v>52</v>
      </c>
      <c r="BS17">
        <v>54</v>
      </c>
      <c r="BT17">
        <v>51</v>
      </c>
      <c r="BU17">
        <v>52</v>
      </c>
      <c r="BV17">
        <v>51</v>
      </c>
      <c r="BW17">
        <v>49</v>
      </c>
      <c r="BX17">
        <v>49</v>
      </c>
      <c r="BY17">
        <v>50</v>
      </c>
      <c r="BZ17">
        <v>50</v>
      </c>
      <c r="CA17" s="3">
        <f t="shared" si="3"/>
        <v>51.6</v>
      </c>
      <c r="CB17">
        <v>50</v>
      </c>
      <c r="CC17">
        <v>46</v>
      </c>
      <c r="CD17">
        <v>49</v>
      </c>
      <c r="CE17">
        <v>47</v>
      </c>
      <c r="CF17">
        <v>49</v>
      </c>
      <c r="CG17">
        <v>48</v>
      </c>
      <c r="CH17">
        <v>48</v>
      </c>
      <c r="CI17">
        <v>47</v>
      </c>
      <c r="CJ17">
        <v>51</v>
      </c>
      <c r="CK17">
        <v>48</v>
      </c>
      <c r="CL17">
        <v>50</v>
      </c>
      <c r="CM17">
        <v>51</v>
      </c>
      <c r="CN17" s="5">
        <v>51</v>
      </c>
      <c r="CO17">
        <v>55</v>
      </c>
      <c r="CP17">
        <v>52</v>
      </c>
      <c r="CQ17">
        <v>52</v>
      </c>
      <c r="CR17">
        <v>51</v>
      </c>
      <c r="CS17">
        <v>50</v>
      </c>
      <c r="CT17" s="3">
        <f t="shared" si="4"/>
        <v>49.722222222222221</v>
      </c>
    </row>
    <row r="18" spans="1:98" x14ac:dyDescent="0.25">
      <c r="A18" s="1" t="s">
        <v>118</v>
      </c>
      <c r="B18">
        <v>0.13</v>
      </c>
      <c r="C18">
        <v>0.13</v>
      </c>
      <c r="D18">
        <v>0.13</v>
      </c>
      <c r="E18">
        <v>0.12</v>
      </c>
      <c r="F18">
        <v>0.1</v>
      </c>
      <c r="G18">
        <v>0.09</v>
      </c>
      <c r="H18">
        <v>0.09</v>
      </c>
      <c r="I18">
        <v>0.09</v>
      </c>
      <c r="J18">
        <v>0.09</v>
      </c>
      <c r="K18">
        <v>0.09</v>
      </c>
      <c r="L18">
        <v>0.09</v>
      </c>
      <c r="M18">
        <v>0.09</v>
      </c>
      <c r="N18">
        <v>0.11</v>
      </c>
      <c r="O18">
        <v>0.11</v>
      </c>
      <c r="P18">
        <v>0.11</v>
      </c>
      <c r="Q18">
        <v>0.12</v>
      </c>
      <c r="R18">
        <v>0.13</v>
      </c>
      <c r="S18">
        <v>0.13</v>
      </c>
      <c r="T18">
        <v>0.13</v>
      </c>
      <c r="U18">
        <v>0.13</v>
      </c>
      <c r="V18" s="3">
        <f t="shared" si="0"/>
        <v>0.1105</v>
      </c>
      <c r="W18">
        <v>0.13</v>
      </c>
      <c r="X18">
        <v>0.13</v>
      </c>
      <c r="Y18">
        <v>0.13</v>
      </c>
      <c r="Z18" s="5">
        <v>0.11</v>
      </c>
      <c r="AA18">
        <v>0.1</v>
      </c>
      <c r="AB18">
        <v>0.11</v>
      </c>
      <c r="AC18">
        <v>0.11</v>
      </c>
      <c r="AD18">
        <v>0.11</v>
      </c>
      <c r="AE18">
        <v>0.11</v>
      </c>
      <c r="AF18">
        <v>0.11</v>
      </c>
      <c r="AG18">
        <v>0.12</v>
      </c>
      <c r="AH18">
        <v>0.12</v>
      </c>
      <c r="AI18">
        <v>0.11</v>
      </c>
      <c r="AJ18">
        <v>0.12</v>
      </c>
      <c r="AK18" s="3">
        <f t="shared" si="1"/>
        <v>0.11571428571428573</v>
      </c>
      <c r="AL18">
        <v>0.14000000000000001</v>
      </c>
      <c r="AM18">
        <v>0.13</v>
      </c>
      <c r="AN18">
        <v>0.13</v>
      </c>
      <c r="AO18">
        <v>0.13</v>
      </c>
      <c r="AP18">
        <v>0.13</v>
      </c>
      <c r="AQ18">
        <v>0.13</v>
      </c>
      <c r="AR18">
        <v>0.13</v>
      </c>
      <c r="AS18">
        <v>0.13</v>
      </c>
      <c r="AT18" s="5">
        <v>0.13</v>
      </c>
      <c r="AU18">
        <v>0.14000000000000001</v>
      </c>
      <c r="AV18">
        <v>0.15</v>
      </c>
      <c r="AW18">
        <v>0.14000000000000001</v>
      </c>
      <c r="AX18">
        <v>0.12</v>
      </c>
      <c r="AY18">
        <v>0.12</v>
      </c>
      <c r="AZ18">
        <v>0.11</v>
      </c>
      <c r="BA18">
        <v>0.12</v>
      </c>
      <c r="BB18">
        <v>0.13</v>
      </c>
      <c r="BC18">
        <v>0.12</v>
      </c>
      <c r="BD18">
        <v>0.12</v>
      </c>
      <c r="BE18">
        <v>0.12</v>
      </c>
      <c r="BF18" s="3">
        <f t="shared" si="2"/>
        <v>0.12850000000000003</v>
      </c>
      <c r="BG18">
        <v>0.13</v>
      </c>
      <c r="BH18">
        <v>0.14000000000000001</v>
      </c>
      <c r="BI18">
        <v>0.15</v>
      </c>
      <c r="BJ18">
        <v>0.13</v>
      </c>
      <c r="BK18">
        <v>0.18</v>
      </c>
      <c r="BL18">
        <v>0.17</v>
      </c>
      <c r="BM18">
        <v>0.17</v>
      </c>
      <c r="BN18">
        <v>0.17</v>
      </c>
      <c r="BO18">
        <v>0.14000000000000001</v>
      </c>
      <c r="BP18" s="5">
        <v>0.16</v>
      </c>
      <c r="BQ18">
        <v>0.17</v>
      </c>
      <c r="BR18">
        <v>0.16</v>
      </c>
      <c r="BS18">
        <v>0.15</v>
      </c>
      <c r="BT18">
        <v>0.16</v>
      </c>
      <c r="BU18">
        <v>0.16</v>
      </c>
      <c r="BV18">
        <v>0.16</v>
      </c>
      <c r="BW18">
        <v>0.16</v>
      </c>
      <c r="BX18">
        <v>0.16</v>
      </c>
      <c r="BY18">
        <v>0.17</v>
      </c>
      <c r="BZ18">
        <v>0.17</v>
      </c>
      <c r="CA18" s="3">
        <f t="shared" si="3"/>
        <v>0.158</v>
      </c>
      <c r="CB18">
        <v>0.24</v>
      </c>
      <c r="CC18">
        <v>0.17</v>
      </c>
      <c r="CD18">
        <v>0.22</v>
      </c>
      <c r="CE18">
        <v>0.23</v>
      </c>
      <c r="CF18">
        <v>0.17</v>
      </c>
      <c r="CG18">
        <v>0.16</v>
      </c>
      <c r="CH18">
        <v>0.18</v>
      </c>
      <c r="CI18">
        <v>0.17</v>
      </c>
      <c r="CJ18">
        <v>0.17</v>
      </c>
      <c r="CK18">
        <v>0.21</v>
      </c>
      <c r="CL18">
        <v>0.19</v>
      </c>
      <c r="CM18">
        <v>0.18</v>
      </c>
      <c r="CN18" s="5">
        <v>0.16</v>
      </c>
      <c r="CO18">
        <v>0.15</v>
      </c>
      <c r="CP18">
        <v>0.17</v>
      </c>
      <c r="CQ18">
        <v>0.19</v>
      </c>
      <c r="CR18">
        <v>0.2</v>
      </c>
      <c r="CS18">
        <v>0.2</v>
      </c>
      <c r="CT18" s="3">
        <f t="shared" si="4"/>
        <v>0.18666666666666668</v>
      </c>
    </row>
    <row r="19" spans="1:98" x14ac:dyDescent="0.25">
      <c r="A19" s="1" t="s">
        <v>119</v>
      </c>
      <c r="B19">
        <v>0.55000000000000004</v>
      </c>
      <c r="C19">
        <v>0.55000000000000004</v>
      </c>
      <c r="D19">
        <v>0.55000000000000004</v>
      </c>
      <c r="E19">
        <v>0.54</v>
      </c>
      <c r="F19">
        <v>0.55000000000000004</v>
      </c>
      <c r="G19">
        <v>0.55000000000000004</v>
      </c>
      <c r="H19">
        <v>0.55000000000000004</v>
      </c>
      <c r="I19">
        <v>0.55000000000000004</v>
      </c>
      <c r="J19">
        <v>0.56000000000000005</v>
      </c>
      <c r="K19">
        <v>0.56000000000000005</v>
      </c>
      <c r="L19">
        <v>0.56999999999999995</v>
      </c>
      <c r="M19">
        <v>0.56000000000000005</v>
      </c>
      <c r="N19">
        <v>0.56999999999999995</v>
      </c>
      <c r="O19">
        <v>0.56999999999999995</v>
      </c>
      <c r="P19">
        <v>0.56999999999999995</v>
      </c>
      <c r="Q19">
        <v>0.56000000000000005</v>
      </c>
      <c r="R19">
        <v>0.57999999999999996</v>
      </c>
      <c r="S19">
        <v>0.57999999999999996</v>
      </c>
      <c r="T19">
        <v>0.57999999999999996</v>
      </c>
      <c r="U19">
        <v>0.57999999999999996</v>
      </c>
      <c r="V19" s="3">
        <f t="shared" si="0"/>
        <v>0.56150000000000011</v>
      </c>
      <c r="W19">
        <v>0.55000000000000004</v>
      </c>
      <c r="X19">
        <v>0.55000000000000004</v>
      </c>
      <c r="Y19">
        <v>0.55000000000000004</v>
      </c>
      <c r="Z19" s="5">
        <v>0.56999999999999995</v>
      </c>
      <c r="AA19">
        <v>0.56999999999999995</v>
      </c>
      <c r="AB19">
        <v>0.56999999999999995</v>
      </c>
      <c r="AC19">
        <v>0.56999999999999995</v>
      </c>
      <c r="AD19">
        <v>0.56999999999999995</v>
      </c>
      <c r="AE19">
        <v>0.56999999999999995</v>
      </c>
      <c r="AF19">
        <v>0.56999999999999995</v>
      </c>
      <c r="AG19">
        <v>0.59</v>
      </c>
      <c r="AH19">
        <v>0.59</v>
      </c>
      <c r="AI19">
        <v>0.55000000000000004</v>
      </c>
      <c r="AJ19">
        <v>0.56000000000000005</v>
      </c>
      <c r="AK19" s="3">
        <f t="shared" si="1"/>
        <v>0.56642857142857139</v>
      </c>
      <c r="AL19">
        <v>0.56000000000000005</v>
      </c>
      <c r="AM19">
        <v>0.55000000000000004</v>
      </c>
      <c r="AN19">
        <v>0.56999999999999995</v>
      </c>
      <c r="AO19">
        <v>0.56000000000000005</v>
      </c>
      <c r="AP19">
        <v>0.56000000000000005</v>
      </c>
      <c r="AQ19">
        <v>0.56000000000000005</v>
      </c>
      <c r="AR19">
        <v>0.56000000000000005</v>
      </c>
      <c r="AS19">
        <v>0.55000000000000004</v>
      </c>
      <c r="AT19" s="5">
        <v>0.55000000000000004</v>
      </c>
      <c r="AU19">
        <v>0.55000000000000004</v>
      </c>
      <c r="AV19">
        <v>0.54</v>
      </c>
      <c r="AW19">
        <v>0.55000000000000004</v>
      </c>
      <c r="AX19">
        <v>0.55000000000000004</v>
      </c>
      <c r="AY19">
        <v>0.55000000000000004</v>
      </c>
      <c r="AZ19">
        <v>0.55000000000000004</v>
      </c>
      <c r="BA19">
        <v>0.55000000000000004</v>
      </c>
      <c r="BB19">
        <v>0.54</v>
      </c>
      <c r="BC19">
        <v>0.54</v>
      </c>
      <c r="BD19">
        <v>0.54</v>
      </c>
      <c r="BE19">
        <v>0.54</v>
      </c>
      <c r="BF19" s="3">
        <f t="shared" si="2"/>
        <v>0.55099999999999993</v>
      </c>
      <c r="BG19">
        <v>0.52</v>
      </c>
      <c r="BH19">
        <v>0.52</v>
      </c>
      <c r="BI19">
        <v>0.51</v>
      </c>
      <c r="BJ19">
        <v>0.52</v>
      </c>
      <c r="BK19">
        <v>0.59</v>
      </c>
      <c r="BL19">
        <v>0.56000000000000005</v>
      </c>
      <c r="BM19">
        <v>0.57999999999999996</v>
      </c>
      <c r="BN19">
        <v>0.56999999999999995</v>
      </c>
      <c r="BO19">
        <v>0.55000000000000004</v>
      </c>
      <c r="BP19" s="5">
        <v>0.54</v>
      </c>
      <c r="BQ19">
        <v>0.56000000000000005</v>
      </c>
      <c r="BR19">
        <v>0.54</v>
      </c>
      <c r="BS19">
        <v>0.52</v>
      </c>
      <c r="BT19">
        <v>0.52</v>
      </c>
      <c r="BU19">
        <v>0.52</v>
      </c>
      <c r="BV19">
        <v>0.52</v>
      </c>
      <c r="BW19">
        <v>0.54</v>
      </c>
      <c r="BX19">
        <v>0.53</v>
      </c>
      <c r="BY19">
        <v>0.53</v>
      </c>
      <c r="BZ19">
        <v>0.53</v>
      </c>
      <c r="CA19" s="3">
        <f t="shared" si="3"/>
        <v>0.53849999999999987</v>
      </c>
      <c r="CB19">
        <v>0.55000000000000004</v>
      </c>
      <c r="CC19">
        <v>0.51</v>
      </c>
      <c r="CD19">
        <v>0.53</v>
      </c>
      <c r="CE19">
        <v>0.54</v>
      </c>
      <c r="CF19">
        <v>0.51</v>
      </c>
      <c r="CG19">
        <v>0.52</v>
      </c>
      <c r="CH19">
        <v>0.5</v>
      </c>
      <c r="CI19">
        <v>0.51</v>
      </c>
      <c r="CJ19">
        <v>0.52</v>
      </c>
      <c r="CK19">
        <v>0.5</v>
      </c>
      <c r="CL19">
        <v>0.51</v>
      </c>
      <c r="CM19">
        <v>0.51</v>
      </c>
      <c r="CN19" s="5">
        <v>0.51</v>
      </c>
      <c r="CO19">
        <v>0.51</v>
      </c>
      <c r="CP19">
        <v>0.5</v>
      </c>
      <c r="CQ19">
        <v>0.51</v>
      </c>
      <c r="CR19">
        <v>0.5</v>
      </c>
      <c r="CS19">
        <v>0.5</v>
      </c>
      <c r="CT19" s="3">
        <f t="shared" si="4"/>
        <v>0.5133333333333332</v>
      </c>
    </row>
    <row r="20" spans="1:98" x14ac:dyDescent="0.25">
      <c r="A20" s="1" t="s">
        <v>120</v>
      </c>
      <c r="B20">
        <v>66</v>
      </c>
      <c r="C20">
        <v>62</v>
      </c>
      <c r="D20">
        <v>66</v>
      </c>
      <c r="E20">
        <v>66</v>
      </c>
      <c r="F20">
        <v>69</v>
      </c>
      <c r="G20">
        <v>70</v>
      </c>
      <c r="H20">
        <v>70</v>
      </c>
      <c r="I20">
        <v>70</v>
      </c>
      <c r="J20">
        <v>71</v>
      </c>
      <c r="K20">
        <v>69</v>
      </c>
      <c r="L20">
        <v>73</v>
      </c>
      <c r="M20">
        <v>70</v>
      </c>
      <c r="N20">
        <v>80</v>
      </c>
      <c r="O20">
        <v>70</v>
      </c>
      <c r="P20">
        <v>73</v>
      </c>
      <c r="Q20">
        <v>70</v>
      </c>
      <c r="R20">
        <v>70</v>
      </c>
      <c r="S20">
        <v>70</v>
      </c>
      <c r="T20">
        <v>65</v>
      </c>
      <c r="U20">
        <v>70</v>
      </c>
      <c r="V20" s="3">
        <f t="shared" si="0"/>
        <v>69.5</v>
      </c>
      <c r="W20">
        <v>60</v>
      </c>
      <c r="X20">
        <v>64</v>
      </c>
      <c r="Y20">
        <v>62</v>
      </c>
      <c r="Z20" s="5">
        <v>69</v>
      </c>
      <c r="AA20">
        <v>57</v>
      </c>
      <c r="AB20">
        <v>55</v>
      </c>
      <c r="AC20">
        <v>65</v>
      </c>
      <c r="AD20">
        <v>60</v>
      </c>
      <c r="AE20">
        <v>63</v>
      </c>
      <c r="AF20">
        <v>62</v>
      </c>
      <c r="AG20">
        <v>63</v>
      </c>
      <c r="AH20">
        <v>60</v>
      </c>
      <c r="AI20">
        <v>65</v>
      </c>
      <c r="AJ20">
        <v>65</v>
      </c>
      <c r="AK20" s="3">
        <f t="shared" si="1"/>
        <v>62.142857142857146</v>
      </c>
      <c r="AL20">
        <v>60</v>
      </c>
      <c r="AM20">
        <v>65</v>
      </c>
      <c r="AN20">
        <v>54</v>
      </c>
      <c r="AO20">
        <v>53</v>
      </c>
      <c r="AP20">
        <v>67</v>
      </c>
      <c r="AQ20">
        <v>58</v>
      </c>
      <c r="AR20">
        <v>60</v>
      </c>
      <c r="AS20">
        <v>60</v>
      </c>
      <c r="AT20" s="5">
        <v>60</v>
      </c>
      <c r="AU20">
        <v>55</v>
      </c>
      <c r="AV20">
        <v>55</v>
      </c>
      <c r="AW20">
        <v>60</v>
      </c>
      <c r="AX20">
        <v>58</v>
      </c>
      <c r="AY20">
        <v>65</v>
      </c>
      <c r="AZ20">
        <v>51</v>
      </c>
      <c r="BA20">
        <v>58</v>
      </c>
      <c r="BB20">
        <v>52</v>
      </c>
      <c r="BC20">
        <v>65</v>
      </c>
      <c r="BD20">
        <v>65</v>
      </c>
      <c r="BE20">
        <v>65</v>
      </c>
      <c r="BF20" s="3">
        <f t="shared" si="2"/>
        <v>59.3</v>
      </c>
      <c r="BG20">
        <v>55</v>
      </c>
      <c r="BH20">
        <v>66</v>
      </c>
      <c r="BI20">
        <v>55</v>
      </c>
      <c r="BJ20">
        <v>55</v>
      </c>
      <c r="BK20">
        <v>55</v>
      </c>
      <c r="BL20">
        <v>55</v>
      </c>
      <c r="BM20">
        <v>54</v>
      </c>
      <c r="BN20">
        <v>55</v>
      </c>
      <c r="BO20">
        <v>55</v>
      </c>
      <c r="BP20" s="5">
        <v>55</v>
      </c>
      <c r="BQ20">
        <v>55</v>
      </c>
      <c r="BR20">
        <v>55</v>
      </c>
      <c r="BS20">
        <v>51</v>
      </c>
      <c r="BT20">
        <v>55</v>
      </c>
      <c r="BU20">
        <v>55</v>
      </c>
      <c r="BV20">
        <v>51</v>
      </c>
      <c r="BW20">
        <v>55</v>
      </c>
      <c r="BX20">
        <v>58</v>
      </c>
      <c r="BY20">
        <v>55</v>
      </c>
      <c r="BZ20">
        <v>52</v>
      </c>
      <c r="CA20" s="3">
        <f t="shared" si="3"/>
        <v>55.1</v>
      </c>
      <c r="CB20">
        <v>49</v>
      </c>
      <c r="CC20">
        <v>54</v>
      </c>
      <c r="CD20">
        <v>49</v>
      </c>
      <c r="CE20">
        <v>49</v>
      </c>
      <c r="CF20">
        <v>53</v>
      </c>
      <c r="CG20">
        <v>54</v>
      </c>
      <c r="CH20">
        <v>53</v>
      </c>
      <c r="CI20">
        <v>49</v>
      </c>
      <c r="CJ20">
        <v>58</v>
      </c>
      <c r="CK20">
        <v>51</v>
      </c>
      <c r="CL20">
        <v>50</v>
      </c>
      <c r="CM20">
        <v>51</v>
      </c>
      <c r="CN20" s="5">
        <v>60</v>
      </c>
      <c r="CO20">
        <v>63</v>
      </c>
      <c r="CP20">
        <v>53</v>
      </c>
      <c r="CQ20">
        <v>50</v>
      </c>
      <c r="CR20">
        <v>55</v>
      </c>
      <c r="CS20">
        <v>55</v>
      </c>
      <c r="CT20" s="3">
        <f t="shared" si="4"/>
        <v>53.111111111111114</v>
      </c>
    </row>
    <row r="21" spans="1:98" x14ac:dyDescent="0.25">
      <c r="A21" s="1" t="s">
        <v>121</v>
      </c>
      <c r="B21">
        <v>0.12</v>
      </c>
      <c r="C21">
        <v>0.12</v>
      </c>
      <c r="D21">
        <v>0.13</v>
      </c>
      <c r="E21">
        <v>0.12</v>
      </c>
      <c r="F21">
        <v>0.09</v>
      </c>
      <c r="G21">
        <v>0.11</v>
      </c>
      <c r="H21">
        <v>0.1</v>
      </c>
      <c r="I21">
        <v>0.11</v>
      </c>
      <c r="J21">
        <v>0.1</v>
      </c>
      <c r="K21">
        <v>0.09</v>
      </c>
      <c r="L21">
        <v>0.11</v>
      </c>
      <c r="M21">
        <v>0.1</v>
      </c>
      <c r="N21">
        <v>0.11</v>
      </c>
      <c r="O21">
        <v>0.11</v>
      </c>
      <c r="P21">
        <v>0.11</v>
      </c>
      <c r="Q21">
        <v>0.11</v>
      </c>
      <c r="R21">
        <v>0.15</v>
      </c>
      <c r="S21">
        <v>0.14000000000000001</v>
      </c>
      <c r="T21">
        <v>0.12</v>
      </c>
      <c r="U21">
        <v>0.14000000000000001</v>
      </c>
      <c r="V21" s="3">
        <f t="shared" si="0"/>
        <v>0.11450000000000002</v>
      </c>
      <c r="W21">
        <v>0.12</v>
      </c>
      <c r="X21">
        <v>0.13</v>
      </c>
      <c r="Y21">
        <v>0.13</v>
      </c>
      <c r="Z21" s="5">
        <v>0.09</v>
      </c>
      <c r="AA21">
        <v>0.1</v>
      </c>
      <c r="AB21">
        <v>0.11</v>
      </c>
      <c r="AC21">
        <v>0.1</v>
      </c>
      <c r="AD21">
        <v>0.12</v>
      </c>
      <c r="AE21">
        <v>0.11</v>
      </c>
      <c r="AF21">
        <v>0.11</v>
      </c>
      <c r="AG21">
        <v>0.1</v>
      </c>
      <c r="AH21">
        <v>0.11</v>
      </c>
      <c r="AI21">
        <v>0.1</v>
      </c>
      <c r="AJ21">
        <v>0.11</v>
      </c>
      <c r="AK21" s="3">
        <f t="shared" si="1"/>
        <v>0.11000000000000003</v>
      </c>
      <c r="AL21">
        <v>0.12</v>
      </c>
      <c r="AM21">
        <v>0.09</v>
      </c>
      <c r="AN21">
        <v>0.13</v>
      </c>
      <c r="AO21">
        <v>0.14000000000000001</v>
      </c>
      <c r="AP21">
        <v>0.12</v>
      </c>
      <c r="AQ21">
        <v>0.12</v>
      </c>
      <c r="AR21">
        <v>0.11</v>
      </c>
      <c r="AS21">
        <v>0.11</v>
      </c>
      <c r="AT21" s="5">
        <v>0.11</v>
      </c>
      <c r="AU21">
        <v>0.14000000000000001</v>
      </c>
      <c r="AV21">
        <v>0.14000000000000001</v>
      </c>
      <c r="AW21">
        <v>0.12</v>
      </c>
      <c r="AX21">
        <v>0.12</v>
      </c>
      <c r="AY21">
        <v>0.09</v>
      </c>
      <c r="AZ21">
        <v>0.11</v>
      </c>
      <c r="BA21">
        <v>0.11</v>
      </c>
      <c r="BB21">
        <v>0.13</v>
      </c>
      <c r="BC21">
        <v>0.11</v>
      </c>
      <c r="BD21">
        <v>0.12</v>
      </c>
      <c r="BE21">
        <v>0.11</v>
      </c>
      <c r="BF21" s="3">
        <f t="shared" si="2"/>
        <v>0.11750000000000002</v>
      </c>
      <c r="BG21">
        <v>0.15</v>
      </c>
      <c r="BH21">
        <v>0.13</v>
      </c>
      <c r="BI21">
        <v>0.14000000000000001</v>
      </c>
      <c r="BJ21">
        <v>0.15</v>
      </c>
      <c r="BK21">
        <v>0.15</v>
      </c>
      <c r="BL21">
        <v>0.15</v>
      </c>
      <c r="BM21">
        <v>0.13</v>
      </c>
      <c r="BN21">
        <v>0.14000000000000001</v>
      </c>
      <c r="BO21">
        <v>0.16</v>
      </c>
      <c r="BP21" s="5">
        <v>0.15</v>
      </c>
      <c r="BQ21">
        <v>0.15</v>
      </c>
      <c r="BR21">
        <v>0.14000000000000001</v>
      </c>
      <c r="BS21">
        <v>0.15</v>
      </c>
      <c r="BT21">
        <v>0.14000000000000001</v>
      </c>
      <c r="BU21">
        <v>0.15</v>
      </c>
      <c r="BV21">
        <v>0.16</v>
      </c>
      <c r="BW21">
        <v>0.15</v>
      </c>
      <c r="BX21">
        <v>0.12</v>
      </c>
      <c r="BY21">
        <v>0.15</v>
      </c>
      <c r="BZ21">
        <v>0.15</v>
      </c>
      <c r="CA21" s="3">
        <f t="shared" si="3"/>
        <v>0.14549999999999999</v>
      </c>
      <c r="CB21">
        <v>0.21</v>
      </c>
      <c r="CC21">
        <v>0.17</v>
      </c>
      <c r="CD21">
        <v>0.19</v>
      </c>
      <c r="CE21">
        <v>0.18</v>
      </c>
      <c r="CF21">
        <v>0.14000000000000001</v>
      </c>
      <c r="CG21">
        <v>0.17</v>
      </c>
      <c r="CH21">
        <v>0.18</v>
      </c>
      <c r="CI21">
        <v>0.18</v>
      </c>
      <c r="CJ21">
        <v>0.13</v>
      </c>
      <c r="CK21">
        <v>0.21</v>
      </c>
      <c r="CL21">
        <v>0.2</v>
      </c>
      <c r="CM21">
        <v>0.2</v>
      </c>
      <c r="CN21" s="5">
        <v>0.13</v>
      </c>
      <c r="CO21">
        <v>0.1</v>
      </c>
      <c r="CP21">
        <v>0.17</v>
      </c>
      <c r="CQ21">
        <v>0.19</v>
      </c>
      <c r="CR21">
        <v>0.17</v>
      </c>
      <c r="CS21">
        <v>0.15</v>
      </c>
      <c r="CT21" s="3">
        <f t="shared" si="4"/>
        <v>0.17055555555555552</v>
      </c>
    </row>
    <row r="22" spans="1:98" x14ac:dyDescent="0.25">
      <c r="A22" s="1" t="s">
        <v>122</v>
      </c>
      <c r="B22">
        <v>0.54</v>
      </c>
      <c r="C22">
        <v>0.55000000000000004</v>
      </c>
      <c r="D22">
        <v>0.55000000000000004</v>
      </c>
      <c r="E22">
        <v>0.53</v>
      </c>
      <c r="F22">
        <v>0.56999999999999995</v>
      </c>
      <c r="G22">
        <v>0.56999999999999995</v>
      </c>
      <c r="H22">
        <v>0.56000000000000005</v>
      </c>
      <c r="I22">
        <v>0.56000000000000005</v>
      </c>
      <c r="J22">
        <v>0.57999999999999996</v>
      </c>
      <c r="K22">
        <v>0.56999999999999995</v>
      </c>
      <c r="L22">
        <v>0.56999999999999995</v>
      </c>
      <c r="M22">
        <v>0.56999999999999995</v>
      </c>
      <c r="N22">
        <v>0.57999999999999996</v>
      </c>
      <c r="O22">
        <v>0.56999999999999995</v>
      </c>
      <c r="P22">
        <v>0.56999999999999995</v>
      </c>
      <c r="Q22">
        <v>0.56000000000000005</v>
      </c>
      <c r="R22">
        <v>0.6</v>
      </c>
      <c r="S22">
        <v>0.57999999999999996</v>
      </c>
      <c r="T22">
        <v>0.59</v>
      </c>
      <c r="U22">
        <v>0.57999999999999996</v>
      </c>
      <c r="V22" s="3">
        <f t="shared" si="0"/>
        <v>0.56750000000000012</v>
      </c>
      <c r="W22">
        <v>0.54</v>
      </c>
      <c r="X22">
        <v>0.55000000000000004</v>
      </c>
      <c r="Y22">
        <v>0.54</v>
      </c>
      <c r="Z22" s="5">
        <v>0.59</v>
      </c>
      <c r="AA22">
        <v>0.59</v>
      </c>
      <c r="AB22">
        <v>0.57999999999999996</v>
      </c>
      <c r="AC22">
        <v>0.57999999999999996</v>
      </c>
      <c r="AD22">
        <v>0.56999999999999995</v>
      </c>
      <c r="AE22">
        <v>0.56000000000000005</v>
      </c>
      <c r="AF22">
        <v>0.57999999999999996</v>
      </c>
      <c r="AG22">
        <v>0.56999999999999995</v>
      </c>
      <c r="AH22">
        <v>0.56999999999999995</v>
      </c>
      <c r="AI22">
        <v>0.56999999999999995</v>
      </c>
      <c r="AJ22">
        <v>0.56000000000000005</v>
      </c>
      <c r="AK22" s="3">
        <f t="shared" si="1"/>
        <v>0.56785714285714295</v>
      </c>
      <c r="AL22">
        <v>0.54</v>
      </c>
      <c r="AM22">
        <v>0.55000000000000004</v>
      </c>
      <c r="AN22">
        <v>0.55000000000000004</v>
      </c>
      <c r="AO22">
        <v>0.55000000000000004</v>
      </c>
      <c r="AP22">
        <v>0.56999999999999995</v>
      </c>
      <c r="AQ22">
        <v>0.54</v>
      </c>
      <c r="AR22">
        <v>0.55000000000000004</v>
      </c>
      <c r="AS22">
        <v>0.56000000000000005</v>
      </c>
      <c r="AT22" s="5">
        <v>0.55000000000000004</v>
      </c>
      <c r="AU22">
        <v>0.53</v>
      </c>
      <c r="AV22">
        <v>0.53</v>
      </c>
      <c r="AW22">
        <v>0.55000000000000004</v>
      </c>
      <c r="AX22">
        <v>0.54</v>
      </c>
      <c r="AY22">
        <v>0.54</v>
      </c>
      <c r="AZ22">
        <v>0.54</v>
      </c>
      <c r="BA22">
        <v>0.55000000000000004</v>
      </c>
      <c r="BB22">
        <v>0.55000000000000004</v>
      </c>
      <c r="BC22">
        <v>0.55000000000000004</v>
      </c>
      <c r="BD22">
        <v>0.56000000000000005</v>
      </c>
      <c r="BE22">
        <v>0.56000000000000005</v>
      </c>
      <c r="BF22" s="3">
        <f t="shared" si="2"/>
        <v>0.54800000000000026</v>
      </c>
      <c r="BG22">
        <v>0.52</v>
      </c>
      <c r="BH22">
        <v>0.52</v>
      </c>
      <c r="BI22">
        <v>0.53</v>
      </c>
      <c r="BJ22">
        <v>0.52</v>
      </c>
      <c r="BK22">
        <v>0.53</v>
      </c>
      <c r="BL22">
        <v>0.53</v>
      </c>
      <c r="BM22">
        <v>0.53</v>
      </c>
      <c r="BN22">
        <v>0.52</v>
      </c>
      <c r="BO22">
        <v>0.55000000000000004</v>
      </c>
      <c r="BP22" s="5">
        <v>0.54</v>
      </c>
      <c r="BQ22">
        <v>0.54</v>
      </c>
      <c r="BR22">
        <v>0.53</v>
      </c>
      <c r="BS22">
        <v>0.51</v>
      </c>
      <c r="BT22">
        <v>0.51</v>
      </c>
      <c r="BU22">
        <v>0.51</v>
      </c>
      <c r="BV22">
        <v>0.52</v>
      </c>
      <c r="BW22">
        <v>0.53</v>
      </c>
      <c r="BX22">
        <v>0.55000000000000004</v>
      </c>
      <c r="BY22">
        <v>0.54</v>
      </c>
      <c r="BZ22">
        <v>0.53</v>
      </c>
      <c r="CA22" s="3">
        <f t="shared" si="3"/>
        <v>0.52800000000000002</v>
      </c>
      <c r="CB22">
        <v>0.49</v>
      </c>
      <c r="CC22">
        <v>0.51</v>
      </c>
      <c r="CD22">
        <v>0.51</v>
      </c>
      <c r="CE22">
        <v>0.51</v>
      </c>
      <c r="CF22">
        <v>0.54</v>
      </c>
      <c r="CG22">
        <v>0.52</v>
      </c>
      <c r="CH22">
        <v>0.52</v>
      </c>
      <c r="CI22">
        <v>0.52</v>
      </c>
      <c r="CJ22">
        <v>0.51</v>
      </c>
      <c r="CK22">
        <v>0.48</v>
      </c>
      <c r="CL22">
        <v>0.49</v>
      </c>
      <c r="CM22">
        <v>0.49</v>
      </c>
      <c r="CN22" s="5">
        <v>0.52</v>
      </c>
      <c r="CO22">
        <v>0.53</v>
      </c>
      <c r="CP22">
        <v>0.5</v>
      </c>
      <c r="CQ22">
        <v>0.5</v>
      </c>
      <c r="CR22">
        <v>0.49</v>
      </c>
      <c r="CS22">
        <v>0.51</v>
      </c>
      <c r="CT22" s="3">
        <f t="shared" si="4"/>
        <v>0.50777777777777777</v>
      </c>
    </row>
    <row r="23" spans="1:98" x14ac:dyDescent="0.25">
      <c r="A23" s="1" t="s">
        <v>123</v>
      </c>
      <c r="B23">
        <v>66</v>
      </c>
      <c r="C23">
        <v>64</v>
      </c>
      <c r="D23">
        <v>66</v>
      </c>
      <c r="E23">
        <v>62</v>
      </c>
      <c r="F23">
        <v>57</v>
      </c>
      <c r="G23">
        <v>57</v>
      </c>
      <c r="H23">
        <v>63</v>
      </c>
      <c r="I23">
        <v>63</v>
      </c>
      <c r="J23">
        <v>66</v>
      </c>
      <c r="K23">
        <v>63</v>
      </c>
      <c r="L23">
        <v>68</v>
      </c>
      <c r="M23">
        <v>68</v>
      </c>
      <c r="N23">
        <v>72</v>
      </c>
      <c r="O23">
        <v>69</v>
      </c>
      <c r="P23">
        <v>65</v>
      </c>
      <c r="Q23">
        <v>65</v>
      </c>
      <c r="R23">
        <v>64</v>
      </c>
      <c r="S23">
        <v>66</v>
      </c>
      <c r="T23">
        <v>69</v>
      </c>
      <c r="U23">
        <v>64</v>
      </c>
      <c r="V23" s="3">
        <f t="shared" si="0"/>
        <v>64.849999999999994</v>
      </c>
      <c r="W23">
        <v>57</v>
      </c>
      <c r="X23">
        <v>58</v>
      </c>
      <c r="Y23">
        <v>60</v>
      </c>
      <c r="Z23" s="5">
        <v>70</v>
      </c>
      <c r="AA23">
        <v>63</v>
      </c>
      <c r="AB23">
        <v>65</v>
      </c>
      <c r="AC23">
        <v>62</v>
      </c>
      <c r="AD23">
        <v>65</v>
      </c>
      <c r="AE23">
        <v>60</v>
      </c>
      <c r="AF23">
        <v>64</v>
      </c>
      <c r="AG23">
        <v>53</v>
      </c>
      <c r="AH23">
        <v>58</v>
      </c>
      <c r="AI23">
        <v>64</v>
      </c>
      <c r="AJ23">
        <v>56</v>
      </c>
      <c r="AK23" s="3">
        <f t="shared" si="1"/>
        <v>61.071428571428569</v>
      </c>
      <c r="AL23">
        <v>56</v>
      </c>
      <c r="AM23">
        <v>62</v>
      </c>
      <c r="AN23">
        <v>56</v>
      </c>
      <c r="AO23">
        <v>58</v>
      </c>
      <c r="AP23">
        <v>55</v>
      </c>
      <c r="AQ23">
        <v>58</v>
      </c>
      <c r="AR23">
        <v>58</v>
      </c>
      <c r="AS23">
        <v>58</v>
      </c>
      <c r="AT23" s="5">
        <v>53</v>
      </c>
      <c r="AU23">
        <v>55</v>
      </c>
      <c r="AV23">
        <v>55</v>
      </c>
      <c r="AW23">
        <v>55</v>
      </c>
      <c r="AX23">
        <v>56</v>
      </c>
      <c r="AY23">
        <v>62</v>
      </c>
      <c r="AZ23">
        <v>56</v>
      </c>
      <c r="BA23">
        <v>58</v>
      </c>
      <c r="BB23">
        <v>51</v>
      </c>
      <c r="BC23">
        <v>54</v>
      </c>
      <c r="BD23">
        <v>58</v>
      </c>
      <c r="BE23">
        <v>53</v>
      </c>
      <c r="BF23" s="3">
        <f t="shared" si="2"/>
        <v>56.35</v>
      </c>
      <c r="BG23">
        <v>52</v>
      </c>
      <c r="BH23">
        <v>54</v>
      </c>
      <c r="BI23">
        <v>51</v>
      </c>
      <c r="BJ23">
        <v>54</v>
      </c>
      <c r="BK23">
        <v>52</v>
      </c>
      <c r="BL23">
        <v>52</v>
      </c>
      <c r="BM23">
        <v>53</v>
      </c>
      <c r="BN23">
        <v>53</v>
      </c>
      <c r="BO23">
        <v>54</v>
      </c>
      <c r="BP23" s="5">
        <v>52</v>
      </c>
      <c r="BQ23">
        <v>54</v>
      </c>
      <c r="BR23">
        <v>52</v>
      </c>
      <c r="BS23">
        <v>54</v>
      </c>
      <c r="BT23">
        <v>51</v>
      </c>
      <c r="BU23">
        <v>52</v>
      </c>
      <c r="BV23">
        <v>50</v>
      </c>
      <c r="BW23">
        <v>50</v>
      </c>
      <c r="BX23">
        <v>49</v>
      </c>
      <c r="BY23">
        <v>49</v>
      </c>
      <c r="BZ23">
        <v>51</v>
      </c>
      <c r="CA23" s="3">
        <f t="shared" si="3"/>
        <v>51.95</v>
      </c>
      <c r="CB23">
        <v>50</v>
      </c>
      <c r="CC23">
        <v>50</v>
      </c>
      <c r="CD23">
        <v>49</v>
      </c>
      <c r="CE23">
        <v>47</v>
      </c>
      <c r="CF23">
        <v>50</v>
      </c>
      <c r="CG23">
        <v>48</v>
      </c>
      <c r="CH23">
        <v>48</v>
      </c>
      <c r="CI23">
        <v>48</v>
      </c>
      <c r="CJ23">
        <v>53</v>
      </c>
      <c r="CK23">
        <v>48</v>
      </c>
      <c r="CL23">
        <v>50</v>
      </c>
      <c r="CM23">
        <v>51</v>
      </c>
      <c r="CN23" s="5">
        <v>51</v>
      </c>
      <c r="CO23">
        <v>54</v>
      </c>
      <c r="CP23">
        <v>52</v>
      </c>
      <c r="CQ23">
        <v>54</v>
      </c>
      <c r="CR23">
        <v>53</v>
      </c>
      <c r="CS23">
        <v>52</v>
      </c>
      <c r="CT23" s="3">
        <f t="shared" si="4"/>
        <v>50.444444444444443</v>
      </c>
    </row>
    <row r="24" spans="1:98" x14ac:dyDescent="0.25">
      <c r="A24" s="1" t="s">
        <v>124</v>
      </c>
      <c r="B24">
        <v>0.12</v>
      </c>
      <c r="C24">
        <v>0.12</v>
      </c>
      <c r="D24">
        <v>0.12</v>
      </c>
      <c r="E24">
        <v>0.11</v>
      </c>
      <c r="F24">
        <v>0.09</v>
      </c>
      <c r="G24">
        <v>0.09</v>
      </c>
      <c r="H24">
        <v>0.09</v>
      </c>
      <c r="I24">
        <v>0.09</v>
      </c>
      <c r="J24">
        <v>0.09</v>
      </c>
      <c r="K24">
        <v>0.09</v>
      </c>
      <c r="L24">
        <v>0.09</v>
      </c>
      <c r="M24">
        <v>0.09</v>
      </c>
      <c r="N24">
        <v>0.11</v>
      </c>
      <c r="O24">
        <v>0.11</v>
      </c>
      <c r="P24">
        <v>0.1</v>
      </c>
      <c r="Q24">
        <v>0.11</v>
      </c>
      <c r="R24">
        <v>0.13</v>
      </c>
      <c r="S24">
        <v>0.12</v>
      </c>
      <c r="T24">
        <v>0.12</v>
      </c>
      <c r="U24">
        <v>0.13</v>
      </c>
      <c r="V24" s="3">
        <f t="shared" si="0"/>
        <v>0.10600000000000002</v>
      </c>
      <c r="W24">
        <v>0.14000000000000001</v>
      </c>
      <c r="X24">
        <v>0.13</v>
      </c>
      <c r="Y24">
        <v>0.12</v>
      </c>
      <c r="Z24" s="5">
        <v>0.1</v>
      </c>
      <c r="AA24">
        <v>0.1</v>
      </c>
      <c r="AB24">
        <v>0.1</v>
      </c>
      <c r="AC24">
        <v>0.11</v>
      </c>
      <c r="AD24">
        <v>0.11</v>
      </c>
      <c r="AE24">
        <v>0.11</v>
      </c>
      <c r="AF24">
        <v>0.12</v>
      </c>
      <c r="AG24">
        <v>0.11</v>
      </c>
      <c r="AH24">
        <v>0.11</v>
      </c>
      <c r="AI24">
        <v>0.11</v>
      </c>
      <c r="AJ24">
        <v>0.11</v>
      </c>
      <c r="AK24" s="3">
        <f t="shared" si="1"/>
        <v>0.11285714285714289</v>
      </c>
      <c r="AL24">
        <v>0.14000000000000001</v>
      </c>
      <c r="AM24">
        <v>0.11</v>
      </c>
      <c r="AN24">
        <v>0.13</v>
      </c>
      <c r="AO24">
        <v>0.13</v>
      </c>
      <c r="AP24">
        <v>0.13</v>
      </c>
      <c r="AQ24">
        <v>0.13</v>
      </c>
      <c r="AR24">
        <v>0.14000000000000001</v>
      </c>
      <c r="AS24">
        <v>0.13</v>
      </c>
      <c r="AT24" s="5">
        <v>0.13</v>
      </c>
      <c r="AU24">
        <v>0.14000000000000001</v>
      </c>
      <c r="AV24">
        <v>0.14000000000000001</v>
      </c>
      <c r="AW24">
        <v>0.13</v>
      </c>
      <c r="AX24">
        <v>0.12</v>
      </c>
      <c r="AY24">
        <v>0.11</v>
      </c>
      <c r="AZ24">
        <v>0.12</v>
      </c>
      <c r="BA24">
        <v>0.12</v>
      </c>
      <c r="BB24">
        <v>0.13</v>
      </c>
      <c r="BC24">
        <v>0.13</v>
      </c>
      <c r="BD24">
        <v>0.13</v>
      </c>
      <c r="BE24">
        <v>0.13</v>
      </c>
      <c r="BF24" s="3">
        <f t="shared" si="2"/>
        <v>0.1285</v>
      </c>
      <c r="BG24">
        <v>0.16</v>
      </c>
      <c r="BH24">
        <v>0.18</v>
      </c>
      <c r="BI24">
        <v>0.16</v>
      </c>
      <c r="BJ24">
        <v>0.15</v>
      </c>
      <c r="BK24">
        <v>0.15</v>
      </c>
      <c r="BL24">
        <v>0.15</v>
      </c>
      <c r="BM24">
        <v>0.14000000000000001</v>
      </c>
      <c r="BN24">
        <v>0.14000000000000001</v>
      </c>
      <c r="BO24">
        <v>0.16</v>
      </c>
      <c r="BP24" s="5">
        <v>0.16</v>
      </c>
      <c r="BQ24">
        <v>0.16</v>
      </c>
      <c r="BR24">
        <v>0.16</v>
      </c>
      <c r="BS24">
        <v>0.16</v>
      </c>
      <c r="BT24">
        <v>0.17</v>
      </c>
      <c r="BU24">
        <v>0.16</v>
      </c>
      <c r="BV24">
        <v>0.17</v>
      </c>
      <c r="BW24">
        <v>0.17</v>
      </c>
      <c r="BX24">
        <v>0.17</v>
      </c>
      <c r="BY24">
        <v>0.17</v>
      </c>
      <c r="BZ24">
        <v>0.17</v>
      </c>
      <c r="CA24" s="3">
        <f t="shared" si="3"/>
        <v>0.16049999999999998</v>
      </c>
      <c r="CB24">
        <v>0.25</v>
      </c>
      <c r="CC24">
        <v>0.23</v>
      </c>
      <c r="CD24">
        <v>0.24</v>
      </c>
      <c r="CE24">
        <v>0.25</v>
      </c>
      <c r="CF24">
        <v>0.23</v>
      </c>
      <c r="CG24">
        <v>0.22</v>
      </c>
      <c r="CH24">
        <v>0.21</v>
      </c>
      <c r="CI24">
        <v>0.22</v>
      </c>
      <c r="CJ24">
        <v>0.23</v>
      </c>
      <c r="CK24">
        <v>0.23</v>
      </c>
      <c r="CL24">
        <v>0.24</v>
      </c>
      <c r="CM24">
        <v>0.24</v>
      </c>
      <c r="CN24" s="5">
        <v>0.21</v>
      </c>
      <c r="CO24">
        <v>0.21</v>
      </c>
      <c r="CP24">
        <v>0.21</v>
      </c>
      <c r="CQ24">
        <v>0.22</v>
      </c>
      <c r="CR24">
        <v>0.22</v>
      </c>
      <c r="CS24">
        <v>0.22</v>
      </c>
      <c r="CT24" s="3">
        <f t="shared" si="4"/>
        <v>0.22666666666666668</v>
      </c>
    </row>
    <row r="25" spans="1:98" x14ac:dyDescent="0.25">
      <c r="A25" s="1" t="s">
        <v>125</v>
      </c>
      <c r="B25">
        <v>0.51</v>
      </c>
      <c r="C25">
        <v>0.51</v>
      </c>
      <c r="D25">
        <v>0.51</v>
      </c>
      <c r="E25">
        <v>0.51</v>
      </c>
      <c r="F25">
        <v>0.52</v>
      </c>
      <c r="G25">
        <v>0.52</v>
      </c>
      <c r="H25">
        <v>0.52</v>
      </c>
      <c r="I25">
        <v>0.52</v>
      </c>
      <c r="J25">
        <v>0.53</v>
      </c>
      <c r="K25">
        <v>0.53</v>
      </c>
      <c r="L25">
        <v>0.53</v>
      </c>
      <c r="M25">
        <v>0.53</v>
      </c>
      <c r="N25">
        <v>0.53</v>
      </c>
      <c r="O25">
        <v>0.53</v>
      </c>
      <c r="P25">
        <v>0.53</v>
      </c>
      <c r="Q25">
        <v>0.52</v>
      </c>
      <c r="R25">
        <v>0.55000000000000004</v>
      </c>
      <c r="S25">
        <v>0.56000000000000005</v>
      </c>
      <c r="T25">
        <v>0.55000000000000004</v>
      </c>
      <c r="U25">
        <v>0.55000000000000004</v>
      </c>
      <c r="V25" s="3">
        <f t="shared" si="0"/>
        <v>0.52800000000000025</v>
      </c>
      <c r="W25">
        <v>0.5</v>
      </c>
      <c r="X25">
        <v>0.51</v>
      </c>
      <c r="Y25">
        <v>0.51</v>
      </c>
      <c r="Z25" s="5">
        <v>0.53</v>
      </c>
      <c r="AA25">
        <v>0.54</v>
      </c>
      <c r="AB25">
        <v>0.54</v>
      </c>
      <c r="AC25">
        <v>0.54</v>
      </c>
      <c r="AD25">
        <v>0.54</v>
      </c>
      <c r="AE25">
        <v>0.53</v>
      </c>
      <c r="AF25">
        <v>0.53</v>
      </c>
      <c r="AG25">
        <v>0.53</v>
      </c>
      <c r="AH25">
        <v>0.52</v>
      </c>
      <c r="AI25">
        <v>0.52</v>
      </c>
      <c r="AJ25">
        <v>0.52</v>
      </c>
      <c r="AK25" s="3">
        <f t="shared" si="1"/>
        <v>0.52571428571428569</v>
      </c>
      <c r="AL25">
        <v>0.52</v>
      </c>
      <c r="AM25">
        <v>0.51</v>
      </c>
      <c r="AN25">
        <v>0.53</v>
      </c>
      <c r="AO25">
        <v>0.52</v>
      </c>
      <c r="AP25">
        <v>0.52</v>
      </c>
      <c r="AQ25">
        <v>0.52</v>
      </c>
      <c r="AR25">
        <v>0.51</v>
      </c>
      <c r="AS25">
        <v>0.51</v>
      </c>
      <c r="AT25" s="5">
        <v>0.51</v>
      </c>
      <c r="AU25">
        <v>0.5</v>
      </c>
      <c r="AV25">
        <v>0.5</v>
      </c>
      <c r="AW25">
        <v>0.5</v>
      </c>
      <c r="AX25">
        <v>0.51</v>
      </c>
      <c r="AY25">
        <v>0.5</v>
      </c>
      <c r="AZ25">
        <v>0.5</v>
      </c>
      <c r="BA25">
        <v>0.51</v>
      </c>
      <c r="BB25">
        <v>0.51</v>
      </c>
      <c r="BC25">
        <v>0.51</v>
      </c>
      <c r="BD25">
        <v>0.51</v>
      </c>
      <c r="BE25">
        <v>0.51</v>
      </c>
      <c r="BF25" s="3">
        <f t="shared" si="2"/>
        <v>0.51049999999999995</v>
      </c>
      <c r="BG25">
        <v>0.47</v>
      </c>
      <c r="BH25">
        <v>0.47</v>
      </c>
      <c r="BI25">
        <v>0.47</v>
      </c>
      <c r="BJ25">
        <v>0.47</v>
      </c>
      <c r="BK25">
        <v>0.5</v>
      </c>
      <c r="BL25">
        <v>0.5</v>
      </c>
      <c r="BM25">
        <v>0.5</v>
      </c>
      <c r="BN25">
        <v>0.5</v>
      </c>
      <c r="BO25">
        <v>0.51</v>
      </c>
      <c r="BP25" s="5">
        <v>0.51</v>
      </c>
      <c r="BQ25">
        <v>0.51</v>
      </c>
      <c r="BR25">
        <v>0.51</v>
      </c>
      <c r="BS25">
        <v>0.48</v>
      </c>
      <c r="BT25">
        <v>0.48</v>
      </c>
      <c r="BU25">
        <v>0.49</v>
      </c>
      <c r="BV25">
        <v>0.49</v>
      </c>
      <c r="BW25">
        <v>0.5</v>
      </c>
      <c r="BX25">
        <v>0.5</v>
      </c>
      <c r="BY25">
        <v>0.5</v>
      </c>
      <c r="BZ25">
        <v>0.49</v>
      </c>
      <c r="CA25" s="3">
        <f t="shared" si="3"/>
        <v>0.49249999999999999</v>
      </c>
      <c r="CB25">
        <v>0.44</v>
      </c>
      <c r="CC25">
        <v>0.45</v>
      </c>
      <c r="CD25">
        <v>0.45</v>
      </c>
      <c r="CE25">
        <v>0.45</v>
      </c>
      <c r="CF25">
        <v>0.46</v>
      </c>
      <c r="CG25">
        <v>0.46</v>
      </c>
      <c r="CH25">
        <v>0.46</v>
      </c>
      <c r="CI25">
        <v>0.46</v>
      </c>
      <c r="CJ25">
        <v>0.45</v>
      </c>
      <c r="CK25">
        <v>0.46</v>
      </c>
      <c r="CL25">
        <v>0.46</v>
      </c>
      <c r="CM25">
        <v>0.45</v>
      </c>
      <c r="CN25" s="5">
        <v>0.45</v>
      </c>
      <c r="CO25">
        <v>0.45</v>
      </c>
      <c r="CP25">
        <v>0.45</v>
      </c>
      <c r="CQ25">
        <v>0.46</v>
      </c>
      <c r="CR25">
        <v>0.46</v>
      </c>
      <c r="CS25">
        <v>0.46</v>
      </c>
      <c r="CT25" s="3">
        <f t="shared" si="4"/>
        <v>0.45444444444444454</v>
      </c>
    </row>
    <row r="26" spans="1:98" x14ac:dyDescent="0.25">
      <c r="A26" s="1" t="s">
        <v>126</v>
      </c>
      <c r="B26">
        <v>66</v>
      </c>
      <c r="C26">
        <v>62</v>
      </c>
      <c r="D26">
        <v>62</v>
      </c>
      <c r="E26">
        <v>62</v>
      </c>
      <c r="F26">
        <v>63</v>
      </c>
      <c r="G26">
        <v>63</v>
      </c>
      <c r="H26">
        <v>66</v>
      </c>
      <c r="I26">
        <v>60</v>
      </c>
      <c r="J26">
        <v>70</v>
      </c>
      <c r="K26">
        <v>74</v>
      </c>
      <c r="L26">
        <v>74</v>
      </c>
      <c r="M26">
        <v>70</v>
      </c>
      <c r="N26">
        <v>75</v>
      </c>
      <c r="O26">
        <v>70</v>
      </c>
      <c r="P26">
        <v>70</v>
      </c>
      <c r="Q26">
        <v>70</v>
      </c>
      <c r="R26">
        <v>67</v>
      </c>
      <c r="S26">
        <v>65</v>
      </c>
      <c r="T26">
        <v>67</v>
      </c>
      <c r="U26">
        <v>69</v>
      </c>
      <c r="V26" s="3">
        <f t="shared" si="0"/>
        <v>67.25</v>
      </c>
      <c r="W26">
        <v>54</v>
      </c>
      <c r="X26">
        <v>56</v>
      </c>
      <c r="Y26">
        <v>54</v>
      </c>
      <c r="Z26" s="5">
        <v>60</v>
      </c>
      <c r="AA26">
        <v>57</v>
      </c>
      <c r="AB26">
        <v>63</v>
      </c>
      <c r="AC26">
        <v>55</v>
      </c>
      <c r="AD26">
        <v>53</v>
      </c>
      <c r="AE26">
        <v>57</v>
      </c>
      <c r="AF26">
        <v>60</v>
      </c>
      <c r="AG26">
        <v>55</v>
      </c>
      <c r="AH26">
        <v>55</v>
      </c>
      <c r="AI26">
        <v>57</v>
      </c>
      <c r="AJ26">
        <v>53</v>
      </c>
      <c r="AK26" s="3">
        <f t="shared" si="1"/>
        <v>56.357142857142854</v>
      </c>
      <c r="AL26">
        <v>54</v>
      </c>
      <c r="AM26">
        <v>54</v>
      </c>
      <c r="AN26">
        <v>53</v>
      </c>
      <c r="AO26">
        <v>52</v>
      </c>
      <c r="AP26">
        <v>60</v>
      </c>
      <c r="AQ26">
        <v>54</v>
      </c>
      <c r="AR26">
        <v>55</v>
      </c>
      <c r="AS26">
        <v>54</v>
      </c>
      <c r="AT26" s="5">
        <v>58</v>
      </c>
      <c r="AU26">
        <v>56</v>
      </c>
      <c r="AV26">
        <v>55</v>
      </c>
      <c r="AW26">
        <v>55</v>
      </c>
      <c r="AX26">
        <v>60</v>
      </c>
      <c r="AY26">
        <v>52</v>
      </c>
      <c r="AZ26">
        <v>60</v>
      </c>
      <c r="BA26">
        <v>51</v>
      </c>
      <c r="BB26">
        <v>53</v>
      </c>
      <c r="BC26">
        <v>53</v>
      </c>
      <c r="BD26">
        <v>55</v>
      </c>
      <c r="BE26">
        <v>55</v>
      </c>
      <c r="BF26" s="3">
        <f t="shared" si="2"/>
        <v>54.95</v>
      </c>
      <c r="BG26">
        <v>51</v>
      </c>
      <c r="BH26">
        <v>64</v>
      </c>
      <c r="BI26">
        <v>55</v>
      </c>
      <c r="BJ26">
        <v>48</v>
      </c>
      <c r="BK26">
        <v>47</v>
      </c>
      <c r="BL26">
        <v>51</v>
      </c>
      <c r="BM26">
        <v>55</v>
      </c>
      <c r="BN26">
        <v>51</v>
      </c>
      <c r="BO26">
        <v>45</v>
      </c>
      <c r="BP26" s="5">
        <v>45</v>
      </c>
      <c r="BQ26">
        <v>55</v>
      </c>
      <c r="BR26">
        <v>54</v>
      </c>
      <c r="BS26">
        <v>54</v>
      </c>
      <c r="BT26">
        <v>51</v>
      </c>
      <c r="BU26">
        <v>52</v>
      </c>
      <c r="BV26">
        <v>52</v>
      </c>
      <c r="BW26">
        <v>48</v>
      </c>
      <c r="BX26">
        <v>50</v>
      </c>
      <c r="BY26">
        <v>51</v>
      </c>
      <c r="BZ26">
        <v>49</v>
      </c>
      <c r="CA26" s="3">
        <f t="shared" si="3"/>
        <v>51.4</v>
      </c>
      <c r="CB26">
        <v>50</v>
      </c>
      <c r="CC26">
        <v>41</v>
      </c>
      <c r="CD26">
        <v>50</v>
      </c>
      <c r="CE26">
        <v>47</v>
      </c>
      <c r="CF26">
        <v>48</v>
      </c>
      <c r="CG26">
        <v>48</v>
      </c>
      <c r="CH26">
        <v>47</v>
      </c>
      <c r="CI26">
        <v>45</v>
      </c>
      <c r="CJ26">
        <v>50</v>
      </c>
      <c r="CK26">
        <v>47</v>
      </c>
      <c r="CL26">
        <v>50</v>
      </c>
      <c r="CM26">
        <v>50</v>
      </c>
      <c r="CN26" s="5">
        <v>50</v>
      </c>
      <c r="CO26">
        <v>58</v>
      </c>
      <c r="CP26">
        <v>52</v>
      </c>
      <c r="CQ26">
        <v>45</v>
      </c>
      <c r="CR26">
        <v>49</v>
      </c>
      <c r="CS26">
        <v>49</v>
      </c>
      <c r="CT26" s="3">
        <f t="shared" si="4"/>
        <v>48.666666666666664</v>
      </c>
    </row>
    <row r="27" spans="1:98" x14ac:dyDescent="0.25">
      <c r="A27" s="1" t="s">
        <v>127</v>
      </c>
      <c r="B27">
        <v>0.14000000000000001</v>
      </c>
      <c r="C27">
        <v>0.13</v>
      </c>
      <c r="D27">
        <v>0.13</v>
      </c>
      <c r="E27">
        <v>0.13</v>
      </c>
      <c r="F27">
        <v>0.1</v>
      </c>
      <c r="G27">
        <v>0.1</v>
      </c>
      <c r="H27">
        <v>0.1</v>
      </c>
      <c r="I27">
        <v>0.1</v>
      </c>
      <c r="J27">
        <v>0.09</v>
      </c>
      <c r="K27">
        <v>0.11</v>
      </c>
      <c r="L27">
        <v>0.08</v>
      </c>
      <c r="M27">
        <v>0.09</v>
      </c>
      <c r="N27">
        <v>0.12</v>
      </c>
      <c r="O27">
        <v>0.12</v>
      </c>
      <c r="P27">
        <v>0.12</v>
      </c>
      <c r="Q27">
        <v>0.13</v>
      </c>
      <c r="R27">
        <v>0.13</v>
      </c>
      <c r="S27">
        <v>0.13</v>
      </c>
      <c r="T27">
        <v>0.14000000000000001</v>
      </c>
      <c r="U27">
        <v>0.14000000000000001</v>
      </c>
      <c r="V27" s="3">
        <f t="shared" si="0"/>
        <v>0.11650000000000002</v>
      </c>
      <c r="W27">
        <v>0.14000000000000001</v>
      </c>
      <c r="X27">
        <v>0.14000000000000001</v>
      </c>
      <c r="Y27">
        <v>0.15</v>
      </c>
      <c r="Z27" s="5">
        <v>0.11</v>
      </c>
      <c r="AA27">
        <v>0.11</v>
      </c>
      <c r="AB27">
        <v>0.12</v>
      </c>
      <c r="AC27">
        <v>0.12</v>
      </c>
      <c r="AD27">
        <v>0.13</v>
      </c>
      <c r="AE27">
        <v>0.11</v>
      </c>
      <c r="AF27">
        <v>0.11</v>
      </c>
      <c r="AG27">
        <v>0.14000000000000001</v>
      </c>
      <c r="AH27">
        <v>0.13</v>
      </c>
      <c r="AI27">
        <v>0.11</v>
      </c>
      <c r="AJ27">
        <v>0.12</v>
      </c>
      <c r="AK27" s="3">
        <f t="shared" si="1"/>
        <v>0.1242857142857143</v>
      </c>
      <c r="AL27">
        <v>0.14000000000000001</v>
      </c>
      <c r="AM27">
        <v>0.15</v>
      </c>
      <c r="AN27">
        <v>0.13</v>
      </c>
      <c r="AO27">
        <v>0.14000000000000001</v>
      </c>
      <c r="AP27">
        <v>0.14000000000000001</v>
      </c>
      <c r="AQ27">
        <v>0.14000000000000001</v>
      </c>
      <c r="AR27">
        <v>0.12</v>
      </c>
      <c r="AS27">
        <v>0.15</v>
      </c>
      <c r="AT27" s="5">
        <v>0.12</v>
      </c>
      <c r="AU27">
        <v>0.13</v>
      </c>
      <c r="AV27">
        <v>0.16</v>
      </c>
      <c r="AW27">
        <v>0.16</v>
      </c>
      <c r="AX27">
        <v>0.12</v>
      </c>
      <c r="AY27">
        <v>0.15</v>
      </c>
      <c r="AZ27">
        <v>0.1</v>
      </c>
      <c r="BA27">
        <v>0.14000000000000001</v>
      </c>
      <c r="BB27">
        <v>0.12</v>
      </c>
      <c r="BC27">
        <v>0.12</v>
      </c>
      <c r="BD27">
        <v>0.11</v>
      </c>
      <c r="BE27">
        <v>0.12</v>
      </c>
      <c r="BF27" s="3">
        <f t="shared" si="2"/>
        <v>0.13300000000000001</v>
      </c>
      <c r="BG27">
        <v>0.13</v>
      </c>
      <c r="BH27">
        <v>0.13</v>
      </c>
      <c r="BI27">
        <v>0.16</v>
      </c>
      <c r="BJ27">
        <v>0.13</v>
      </c>
      <c r="BK27">
        <v>0.25</v>
      </c>
      <c r="BL27">
        <v>0.2</v>
      </c>
      <c r="BM27">
        <v>0.21</v>
      </c>
      <c r="BN27">
        <v>0.21</v>
      </c>
      <c r="BO27">
        <v>0.14000000000000001</v>
      </c>
      <c r="BP27" s="5">
        <v>0.16</v>
      </c>
      <c r="BQ27">
        <v>0.18</v>
      </c>
      <c r="BR27">
        <v>0.17</v>
      </c>
      <c r="BS27">
        <v>0.16</v>
      </c>
      <c r="BT27">
        <v>0.17</v>
      </c>
      <c r="BU27">
        <v>0.16</v>
      </c>
      <c r="BV27">
        <v>0.16</v>
      </c>
      <c r="BW27">
        <v>0.14000000000000001</v>
      </c>
      <c r="BX27">
        <v>0.16</v>
      </c>
      <c r="BY27">
        <v>0.17</v>
      </c>
      <c r="BZ27">
        <v>0.17</v>
      </c>
      <c r="CA27" s="3">
        <f t="shared" si="3"/>
        <v>0.16800000000000001</v>
      </c>
      <c r="CB27">
        <v>0.31</v>
      </c>
      <c r="CC27">
        <v>0.16</v>
      </c>
      <c r="CD27">
        <v>0.26</v>
      </c>
      <c r="CE27">
        <v>0.28999999999999998</v>
      </c>
      <c r="CF27">
        <v>0.14000000000000001</v>
      </c>
      <c r="CG27">
        <v>0.13</v>
      </c>
      <c r="CH27">
        <v>0.16</v>
      </c>
      <c r="CI27">
        <v>0.15</v>
      </c>
      <c r="CJ27">
        <v>0.14000000000000001</v>
      </c>
      <c r="CK27">
        <v>0.22</v>
      </c>
      <c r="CL27">
        <v>0.18</v>
      </c>
      <c r="CM27">
        <v>0.16</v>
      </c>
      <c r="CN27" s="5">
        <v>0.14000000000000001</v>
      </c>
      <c r="CO27">
        <v>0.11</v>
      </c>
      <c r="CP27">
        <v>0.17</v>
      </c>
      <c r="CQ27">
        <v>0.22</v>
      </c>
      <c r="CR27">
        <v>0.21</v>
      </c>
      <c r="CS27">
        <v>0.21</v>
      </c>
      <c r="CT27" s="3">
        <f t="shared" si="4"/>
        <v>0.18666666666666665</v>
      </c>
    </row>
    <row r="28" spans="1:98" x14ac:dyDescent="0.25">
      <c r="A28" s="1" t="s">
        <v>128</v>
      </c>
      <c r="B28">
        <v>0.57999999999999996</v>
      </c>
      <c r="C28">
        <v>0.57999999999999996</v>
      </c>
      <c r="D28">
        <v>0.57999999999999996</v>
      </c>
      <c r="E28">
        <v>0.57999999999999996</v>
      </c>
      <c r="F28">
        <v>0.57999999999999996</v>
      </c>
      <c r="G28">
        <v>0.59</v>
      </c>
      <c r="H28">
        <v>0.59</v>
      </c>
      <c r="I28">
        <v>0.59</v>
      </c>
      <c r="J28">
        <v>0.6</v>
      </c>
      <c r="K28">
        <v>0.6</v>
      </c>
      <c r="L28">
        <v>0.6</v>
      </c>
      <c r="M28">
        <v>0.6</v>
      </c>
      <c r="N28">
        <v>0.61</v>
      </c>
      <c r="O28">
        <v>0.61</v>
      </c>
      <c r="P28">
        <v>0.6</v>
      </c>
      <c r="Q28">
        <v>0.61</v>
      </c>
      <c r="R28">
        <v>0.61</v>
      </c>
      <c r="S28">
        <v>0.61</v>
      </c>
      <c r="T28">
        <v>0.61</v>
      </c>
      <c r="U28">
        <v>0.61</v>
      </c>
      <c r="V28" s="3">
        <f t="shared" si="0"/>
        <v>0.59699999999999975</v>
      </c>
      <c r="W28">
        <v>0.6</v>
      </c>
      <c r="X28">
        <v>0.59</v>
      </c>
      <c r="Y28">
        <v>0.59</v>
      </c>
      <c r="Z28" s="5">
        <v>0.61</v>
      </c>
      <c r="AA28">
        <v>0.61</v>
      </c>
      <c r="AB28">
        <v>0.61</v>
      </c>
      <c r="AC28">
        <v>0.6</v>
      </c>
      <c r="AD28">
        <v>0.6</v>
      </c>
      <c r="AE28">
        <v>0.6</v>
      </c>
      <c r="AF28">
        <v>0.6</v>
      </c>
      <c r="AG28">
        <v>0.65</v>
      </c>
      <c r="AH28">
        <v>0.66</v>
      </c>
      <c r="AI28">
        <v>0.59</v>
      </c>
      <c r="AJ28">
        <v>0.59</v>
      </c>
      <c r="AK28" s="3">
        <f t="shared" si="1"/>
        <v>0.60714285714285698</v>
      </c>
      <c r="AL28">
        <v>0.6</v>
      </c>
      <c r="AM28">
        <v>0.6</v>
      </c>
      <c r="AN28">
        <v>0.61</v>
      </c>
      <c r="AO28">
        <v>0.6</v>
      </c>
      <c r="AP28">
        <v>0.61</v>
      </c>
      <c r="AQ28">
        <v>0.6</v>
      </c>
      <c r="AR28">
        <v>0.61</v>
      </c>
      <c r="AS28">
        <v>0.59</v>
      </c>
      <c r="AT28" s="5">
        <v>0.6</v>
      </c>
      <c r="AU28">
        <v>0.6</v>
      </c>
      <c r="AV28">
        <v>0.57999999999999996</v>
      </c>
      <c r="AW28">
        <v>0.6</v>
      </c>
      <c r="AX28">
        <v>0.6</v>
      </c>
      <c r="AY28">
        <v>0.61</v>
      </c>
      <c r="AZ28">
        <v>0.59</v>
      </c>
      <c r="BA28">
        <v>0.6</v>
      </c>
      <c r="BB28">
        <v>0.56999999999999995</v>
      </c>
      <c r="BC28">
        <v>0.56999999999999995</v>
      </c>
      <c r="BD28">
        <v>0.57999999999999996</v>
      </c>
      <c r="BE28">
        <v>0.57999999999999996</v>
      </c>
      <c r="BF28" s="3">
        <f t="shared" si="2"/>
        <v>0.59499999999999997</v>
      </c>
      <c r="BG28">
        <v>0.56000000000000005</v>
      </c>
      <c r="BH28">
        <v>0.56999999999999995</v>
      </c>
      <c r="BI28">
        <v>0.55000000000000004</v>
      </c>
      <c r="BJ28">
        <v>0.56000000000000005</v>
      </c>
      <c r="BK28">
        <v>0.68</v>
      </c>
      <c r="BL28">
        <v>0.63</v>
      </c>
      <c r="BM28">
        <v>0.66</v>
      </c>
      <c r="BN28">
        <v>0.64</v>
      </c>
      <c r="BO28">
        <v>0.6</v>
      </c>
      <c r="BP28" s="5">
        <v>0.57999999999999996</v>
      </c>
      <c r="BQ28">
        <v>0.61</v>
      </c>
      <c r="BR28">
        <v>0.56000000000000005</v>
      </c>
      <c r="BS28">
        <v>0.55000000000000004</v>
      </c>
      <c r="BT28">
        <v>0.56000000000000005</v>
      </c>
      <c r="BU28">
        <v>0.56000000000000005</v>
      </c>
      <c r="BV28">
        <v>0.56000000000000005</v>
      </c>
      <c r="BW28">
        <v>0.56999999999999995</v>
      </c>
      <c r="BX28">
        <v>0.56999999999999995</v>
      </c>
      <c r="BY28">
        <v>0.56000000000000005</v>
      </c>
      <c r="BZ28">
        <v>0.56000000000000005</v>
      </c>
      <c r="CA28" s="3">
        <f t="shared" si="3"/>
        <v>0.58450000000000002</v>
      </c>
      <c r="CB28">
        <v>0.66</v>
      </c>
      <c r="CC28">
        <v>0.57999999999999996</v>
      </c>
      <c r="CD28">
        <v>0.61</v>
      </c>
      <c r="CE28">
        <v>0.63</v>
      </c>
      <c r="CF28">
        <v>0.56999999999999995</v>
      </c>
      <c r="CG28">
        <v>0.56999999999999995</v>
      </c>
      <c r="CH28">
        <v>0.55000000000000004</v>
      </c>
      <c r="CI28">
        <v>0.56000000000000005</v>
      </c>
      <c r="CJ28">
        <v>0.57999999999999996</v>
      </c>
      <c r="CK28">
        <v>0.54</v>
      </c>
      <c r="CL28">
        <v>0.56000000000000005</v>
      </c>
      <c r="CM28">
        <v>0.56999999999999995</v>
      </c>
      <c r="CN28" s="5">
        <v>0.56000000000000005</v>
      </c>
      <c r="CO28">
        <v>0.57999999999999996</v>
      </c>
      <c r="CP28">
        <v>0.54</v>
      </c>
      <c r="CQ28">
        <v>0.56999999999999995</v>
      </c>
      <c r="CR28">
        <v>0.54</v>
      </c>
      <c r="CS28">
        <v>0.55000000000000004</v>
      </c>
      <c r="CT28" s="3">
        <f t="shared" si="4"/>
        <v>0.57333333333333336</v>
      </c>
    </row>
    <row r="29" spans="1:98" x14ac:dyDescent="0.25">
      <c r="A29" s="1" t="s">
        <v>129</v>
      </c>
      <c r="B29">
        <v>60</v>
      </c>
      <c r="C29">
        <v>68</v>
      </c>
      <c r="D29">
        <v>66</v>
      </c>
      <c r="E29">
        <v>62</v>
      </c>
      <c r="F29">
        <v>60</v>
      </c>
      <c r="G29">
        <v>65</v>
      </c>
      <c r="H29">
        <v>68</v>
      </c>
      <c r="I29">
        <v>65</v>
      </c>
      <c r="J29">
        <v>66</v>
      </c>
      <c r="K29">
        <v>66</v>
      </c>
      <c r="L29">
        <v>65</v>
      </c>
      <c r="M29">
        <v>68</v>
      </c>
      <c r="N29">
        <v>65</v>
      </c>
      <c r="O29">
        <v>67</v>
      </c>
      <c r="P29">
        <v>65</v>
      </c>
      <c r="Q29">
        <v>65</v>
      </c>
      <c r="R29">
        <v>65</v>
      </c>
      <c r="S29">
        <v>67</v>
      </c>
      <c r="T29">
        <v>65</v>
      </c>
      <c r="U29">
        <v>65</v>
      </c>
      <c r="V29" s="3">
        <f t="shared" si="0"/>
        <v>65.150000000000006</v>
      </c>
      <c r="W29">
        <v>56</v>
      </c>
      <c r="X29">
        <v>55</v>
      </c>
      <c r="Y29">
        <v>56</v>
      </c>
      <c r="Z29" s="5">
        <v>57</v>
      </c>
      <c r="AA29">
        <v>60</v>
      </c>
      <c r="AB29">
        <v>60</v>
      </c>
      <c r="AC29">
        <v>58</v>
      </c>
      <c r="AD29">
        <v>62</v>
      </c>
      <c r="AE29">
        <v>60</v>
      </c>
      <c r="AF29">
        <v>60</v>
      </c>
      <c r="AG29">
        <v>50</v>
      </c>
      <c r="AH29">
        <v>53</v>
      </c>
      <c r="AI29">
        <v>57</v>
      </c>
      <c r="AJ29">
        <v>51</v>
      </c>
      <c r="AK29" s="3">
        <f t="shared" si="1"/>
        <v>56.785714285714285</v>
      </c>
      <c r="AL29">
        <v>56</v>
      </c>
      <c r="AM29">
        <v>51</v>
      </c>
      <c r="AN29">
        <v>58</v>
      </c>
      <c r="AO29">
        <v>53</v>
      </c>
      <c r="AP29">
        <v>51</v>
      </c>
      <c r="AQ29">
        <v>53</v>
      </c>
      <c r="AR29">
        <v>53</v>
      </c>
      <c r="AS29">
        <v>53</v>
      </c>
      <c r="AT29" s="5">
        <v>53</v>
      </c>
      <c r="AU29">
        <v>53</v>
      </c>
      <c r="AV29">
        <v>53</v>
      </c>
      <c r="AW29">
        <v>55</v>
      </c>
      <c r="AX29">
        <v>52</v>
      </c>
      <c r="AY29">
        <v>52</v>
      </c>
      <c r="AZ29">
        <v>52</v>
      </c>
      <c r="BA29">
        <v>54</v>
      </c>
      <c r="BB29">
        <v>55</v>
      </c>
      <c r="BC29">
        <v>53</v>
      </c>
      <c r="BD29">
        <v>53</v>
      </c>
      <c r="BE29">
        <v>53</v>
      </c>
      <c r="BF29" s="3">
        <f t="shared" si="2"/>
        <v>53.3</v>
      </c>
      <c r="BG29">
        <v>50</v>
      </c>
      <c r="BH29">
        <v>57</v>
      </c>
      <c r="BI29">
        <v>51</v>
      </c>
      <c r="BJ29">
        <v>52</v>
      </c>
      <c r="BK29">
        <v>48</v>
      </c>
      <c r="BL29">
        <v>50</v>
      </c>
      <c r="BM29">
        <v>47</v>
      </c>
      <c r="BN29">
        <v>48</v>
      </c>
      <c r="BO29">
        <v>51</v>
      </c>
      <c r="BP29" s="5">
        <v>51</v>
      </c>
      <c r="BQ29">
        <v>51</v>
      </c>
      <c r="BR29">
        <v>51</v>
      </c>
      <c r="BS29">
        <v>50</v>
      </c>
      <c r="BT29">
        <v>50</v>
      </c>
      <c r="BU29">
        <v>51</v>
      </c>
      <c r="BV29">
        <v>49</v>
      </c>
      <c r="BW29">
        <v>50</v>
      </c>
      <c r="BX29">
        <v>51</v>
      </c>
      <c r="BY29">
        <v>50</v>
      </c>
      <c r="BZ29">
        <v>51</v>
      </c>
      <c r="CA29" s="3">
        <f t="shared" si="3"/>
        <v>50.45</v>
      </c>
      <c r="CB29">
        <v>48</v>
      </c>
      <c r="CC29">
        <v>48</v>
      </c>
      <c r="CD29">
        <v>48</v>
      </c>
      <c r="CE29">
        <v>49</v>
      </c>
      <c r="CF29">
        <v>48</v>
      </c>
      <c r="CG29">
        <v>48</v>
      </c>
      <c r="CH29">
        <v>46</v>
      </c>
      <c r="CI29">
        <v>47</v>
      </c>
      <c r="CJ29">
        <v>47</v>
      </c>
      <c r="CK29">
        <v>48</v>
      </c>
      <c r="CL29">
        <v>49</v>
      </c>
      <c r="CM29">
        <v>49</v>
      </c>
      <c r="CN29" s="5">
        <v>50</v>
      </c>
      <c r="CO29">
        <v>50</v>
      </c>
      <c r="CP29">
        <v>50</v>
      </c>
      <c r="CQ29">
        <v>50</v>
      </c>
      <c r="CR29">
        <v>51</v>
      </c>
      <c r="CS29">
        <v>52</v>
      </c>
      <c r="CT29" s="3">
        <f t="shared" si="4"/>
        <v>48.777777777777779</v>
      </c>
    </row>
    <row r="30" spans="1:98" x14ac:dyDescent="0.25">
      <c r="A30" s="1" t="s">
        <v>130</v>
      </c>
      <c r="B30">
        <v>0.12</v>
      </c>
      <c r="C30">
        <v>0.13</v>
      </c>
      <c r="D30">
        <v>0.13</v>
      </c>
      <c r="E30">
        <v>0.12</v>
      </c>
      <c r="F30">
        <v>0.09</v>
      </c>
      <c r="G30">
        <v>0.1</v>
      </c>
      <c r="H30">
        <v>0.1</v>
      </c>
      <c r="I30">
        <v>0.1</v>
      </c>
      <c r="J30">
        <v>0.09</v>
      </c>
      <c r="K30">
        <v>0.09</v>
      </c>
      <c r="L30">
        <v>0.1</v>
      </c>
      <c r="M30">
        <v>0.1</v>
      </c>
      <c r="N30">
        <v>0.11</v>
      </c>
      <c r="O30">
        <v>0.11</v>
      </c>
      <c r="P30">
        <v>0.11</v>
      </c>
      <c r="Q30">
        <v>0.11</v>
      </c>
      <c r="R30">
        <v>0.11</v>
      </c>
      <c r="S30">
        <v>0.12</v>
      </c>
      <c r="T30">
        <v>0.12</v>
      </c>
      <c r="U30">
        <v>0.12</v>
      </c>
      <c r="V30" s="3">
        <f t="shared" si="0"/>
        <v>0.10900000000000003</v>
      </c>
      <c r="W30">
        <v>0.15</v>
      </c>
      <c r="X30">
        <v>0.15</v>
      </c>
      <c r="Y30">
        <v>0.15</v>
      </c>
      <c r="Z30" s="5">
        <v>0.11</v>
      </c>
      <c r="AA30">
        <v>0.11</v>
      </c>
      <c r="AB30">
        <v>0.1</v>
      </c>
      <c r="AC30">
        <v>0.11</v>
      </c>
      <c r="AD30">
        <v>0.11</v>
      </c>
      <c r="AE30">
        <v>0.11</v>
      </c>
      <c r="AF30">
        <v>0.11</v>
      </c>
      <c r="AG30">
        <v>0.11</v>
      </c>
      <c r="AH30">
        <v>0.11</v>
      </c>
      <c r="AI30">
        <v>0.1</v>
      </c>
      <c r="AJ30">
        <v>0.12</v>
      </c>
      <c r="AK30" s="3">
        <f t="shared" si="1"/>
        <v>0.11785714285714288</v>
      </c>
      <c r="AL30">
        <v>0.15</v>
      </c>
      <c r="AM30">
        <v>0.15</v>
      </c>
      <c r="AN30">
        <v>0.14000000000000001</v>
      </c>
      <c r="AO30">
        <v>0.15</v>
      </c>
      <c r="AP30">
        <v>0.15</v>
      </c>
      <c r="AQ30">
        <v>0.15</v>
      </c>
      <c r="AR30">
        <v>0.15</v>
      </c>
      <c r="AS30">
        <v>0.15</v>
      </c>
      <c r="AT30" s="5">
        <v>0.15</v>
      </c>
      <c r="AU30">
        <v>0.15</v>
      </c>
      <c r="AV30">
        <v>0.15</v>
      </c>
      <c r="AW30">
        <v>0.15</v>
      </c>
      <c r="AX30">
        <v>0.14000000000000001</v>
      </c>
      <c r="AY30">
        <v>0.14000000000000001</v>
      </c>
      <c r="AZ30">
        <v>0.13</v>
      </c>
      <c r="BA30">
        <v>0.13</v>
      </c>
      <c r="BB30">
        <v>0.14000000000000001</v>
      </c>
      <c r="BC30">
        <v>0.14000000000000001</v>
      </c>
      <c r="BD30">
        <v>0.14000000000000001</v>
      </c>
      <c r="BE30">
        <v>0.15</v>
      </c>
      <c r="BF30" s="3">
        <f t="shared" si="2"/>
        <v>0.14499999999999999</v>
      </c>
      <c r="BG30">
        <v>0.15</v>
      </c>
      <c r="BH30">
        <v>0.17</v>
      </c>
      <c r="BI30">
        <v>0.16</v>
      </c>
      <c r="BJ30">
        <v>0.15</v>
      </c>
      <c r="BK30">
        <v>0.17</v>
      </c>
      <c r="BL30">
        <v>0.17</v>
      </c>
      <c r="BM30">
        <v>0.17</v>
      </c>
      <c r="BN30">
        <v>0.17</v>
      </c>
      <c r="BO30">
        <v>0.17</v>
      </c>
      <c r="BP30" s="5">
        <v>0.17</v>
      </c>
      <c r="BQ30">
        <v>0.17</v>
      </c>
      <c r="BR30">
        <v>0.17</v>
      </c>
      <c r="BS30">
        <v>0.16</v>
      </c>
      <c r="BT30">
        <v>0.16</v>
      </c>
      <c r="BU30">
        <v>0.16</v>
      </c>
      <c r="BV30">
        <v>0.17</v>
      </c>
      <c r="BW30">
        <v>0.17</v>
      </c>
      <c r="BX30">
        <v>0.17</v>
      </c>
      <c r="BY30">
        <v>0.17</v>
      </c>
      <c r="BZ30">
        <v>0.17</v>
      </c>
      <c r="CA30" s="3">
        <f t="shared" si="3"/>
        <v>0.16599999999999998</v>
      </c>
      <c r="CB30">
        <v>0.22</v>
      </c>
      <c r="CC30">
        <v>0.21</v>
      </c>
      <c r="CD30">
        <v>0.22</v>
      </c>
      <c r="CE30">
        <v>0.21</v>
      </c>
      <c r="CF30">
        <v>0.19</v>
      </c>
      <c r="CG30">
        <v>0.2</v>
      </c>
      <c r="CH30">
        <v>0.2</v>
      </c>
      <c r="CI30">
        <v>0.19</v>
      </c>
      <c r="CJ30">
        <v>0.22</v>
      </c>
      <c r="CK30">
        <v>0.22</v>
      </c>
      <c r="CL30">
        <v>0.22</v>
      </c>
      <c r="CM30">
        <v>0.22</v>
      </c>
      <c r="CN30" s="5">
        <v>0.19</v>
      </c>
      <c r="CO30">
        <v>0.19</v>
      </c>
      <c r="CP30">
        <v>0.19</v>
      </c>
      <c r="CQ30">
        <v>0.21</v>
      </c>
      <c r="CR30">
        <v>0.21</v>
      </c>
      <c r="CS30">
        <v>0.21</v>
      </c>
      <c r="CT30" s="3">
        <f t="shared" si="4"/>
        <v>0.20666666666666667</v>
      </c>
    </row>
    <row r="31" spans="1:98" x14ac:dyDescent="0.25">
      <c r="A31" s="1" t="s">
        <v>131</v>
      </c>
      <c r="B31">
        <v>0.54</v>
      </c>
      <c r="C31">
        <v>0.55000000000000004</v>
      </c>
      <c r="D31">
        <v>0.55000000000000004</v>
      </c>
      <c r="E31">
        <v>0.54</v>
      </c>
      <c r="F31">
        <v>0.55000000000000004</v>
      </c>
      <c r="G31">
        <v>0.56000000000000005</v>
      </c>
      <c r="H31">
        <v>0.56000000000000005</v>
      </c>
      <c r="I31">
        <v>0.56000000000000005</v>
      </c>
      <c r="J31">
        <v>0.56000000000000005</v>
      </c>
      <c r="K31">
        <v>0.56000000000000005</v>
      </c>
      <c r="L31">
        <v>0.56000000000000005</v>
      </c>
      <c r="M31">
        <v>0.56000000000000005</v>
      </c>
      <c r="N31">
        <v>0.56000000000000005</v>
      </c>
      <c r="O31">
        <v>0.56000000000000005</v>
      </c>
      <c r="P31">
        <v>0.56000000000000005</v>
      </c>
      <c r="Q31">
        <v>0.56000000000000005</v>
      </c>
      <c r="R31">
        <v>0.59</v>
      </c>
      <c r="S31">
        <v>0.59</v>
      </c>
      <c r="T31">
        <v>0.59</v>
      </c>
      <c r="U31">
        <v>0.59</v>
      </c>
      <c r="V31" s="3">
        <f t="shared" si="0"/>
        <v>0.56250000000000022</v>
      </c>
      <c r="W31">
        <v>0.55000000000000004</v>
      </c>
      <c r="X31">
        <v>0.55000000000000004</v>
      </c>
      <c r="Y31">
        <v>0.55000000000000004</v>
      </c>
      <c r="Z31" s="5">
        <v>0.57999999999999996</v>
      </c>
      <c r="AA31">
        <v>0.57999999999999996</v>
      </c>
      <c r="AB31">
        <v>0.57999999999999996</v>
      </c>
      <c r="AC31">
        <v>0.56999999999999995</v>
      </c>
      <c r="AD31">
        <v>0.56999999999999995</v>
      </c>
      <c r="AE31">
        <v>0.56999999999999995</v>
      </c>
      <c r="AF31">
        <v>0.56999999999999995</v>
      </c>
      <c r="AG31">
        <v>0.56999999999999995</v>
      </c>
      <c r="AH31">
        <v>0.56000000000000005</v>
      </c>
      <c r="AI31">
        <v>0.56000000000000005</v>
      </c>
      <c r="AJ31">
        <v>0.56000000000000005</v>
      </c>
      <c r="AK31" s="3">
        <f t="shared" si="1"/>
        <v>0.56571428571428584</v>
      </c>
      <c r="AL31">
        <v>0.56000000000000005</v>
      </c>
      <c r="AM31">
        <v>0.56000000000000005</v>
      </c>
      <c r="AN31">
        <v>0.56000000000000005</v>
      </c>
      <c r="AO31">
        <v>0.56000000000000005</v>
      </c>
      <c r="AP31">
        <v>0.56000000000000005</v>
      </c>
      <c r="AQ31">
        <v>0.56000000000000005</v>
      </c>
      <c r="AR31">
        <v>0.55000000000000004</v>
      </c>
      <c r="AS31">
        <v>0.55000000000000004</v>
      </c>
      <c r="AT31" s="5">
        <v>0.55000000000000004</v>
      </c>
      <c r="AU31">
        <v>0.55000000000000004</v>
      </c>
      <c r="AV31">
        <v>0.55000000000000004</v>
      </c>
      <c r="AW31">
        <v>0.55000000000000004</v>
      </c>
      <c r="AX31">
        <v>0.55000000000000004</v>
      </c>
      <c r="AY31">
        <v>0.55000000000000004</v>
      </c>
      <c r="AZ31">
        <v>0.55000000000000004</v>
      </c>
      <c r="BA31">
        <v>0.55000000000000004</v>
      </c>
      <c r="BB31">
        <v>0.54</v>
      </c>
      <c r="BC31">
        <v>0.54</v>
      </c>
      <c r="BD31">
        <v>0.54</v>
      </c>
      <c r="BE31">
        <v>0.54</v>
      </c>
      <c r="BF31" s="3">
        <f t="shared" si="2"/>
        <v>0.55099999999999982</v>
      </c>
      <c r="BG31">
        <v>0.51</v>
      </c>
      <c r="BH31">
        <v>0.51</v>
      </c>
      <c r="BI31">
        <v>0.51</v>
      </c>
      <c r="BJ31">
        <v>0.51</v>
      </c>
      <c r="BK31">
        <v>0.54</v>
      </c>
      <c r="BL31">
        <v>0.53</v>
      </c>
      <c r="BM31">
        <v>0.54</v>
      </c>
      <c r="BN31">
        <v>0.54</v>
      </c>
      <c r="BO31">
        <v>0.54</v>
      </c>
      <c r="BP31" s="5">
        <v>0.54</v>
      </c>
      <c r="BQ31">
        <v>0.54</v>
      </c>
      <c r="BR31">
        <v>0.54</v>
      </c>
      <c r="BS31">
        <v>0.52</v>
      </c>
      <c r="BT31">
        <v>0.52</v>
      </c>
      <c r="BU31">
        <v>0.52</v>
      </c>
      <c r="BV31">
        <v>0.52</v>
      </c>
      <c r="BW31">
        <v>0.53</v>
      </c>
      <c r="BX31">
        <v>0.53</v>
      </c>
      <c r="BY31">
        <v>0.53</v>
      </c>
      <c r="BZ31">
        <v>0.53</v>
      </c>
      <c r="CA31" s="3">
        <f t="shared" si="3"/>
        <v>0.52749999999999986</v>
      </c>
      <c r="CB31">
        <v>0.49</v>
      </c>
      <c r="CC31">
        <v>0.49</v>
      </c>
      <c r="CD31">
        <v>0.49</v>
      </c>
      <c r="CE31">
        <v>0.49</v>
      </c>
      <c r="CF31">
        <v>0.5</v>
      </c>
      <c r="CG31">
        <v>0.5</v>
      </c>
      <c r="CH31">
        <v>0.5</v>
      </c>
      <c r="CI31">
        <v>0.5</v>
      </c>
      <c r="CJ31">
        <v>0.5</v>
      </c>
      <c r="CK31">
        <v>0.5</v>
      </c>
      <c r="CL31">
        <v>0.5</v>
      </c>
      <c r="CM31">
        <v>0.49</v>
      </c>
      <c r="CN31" s="5">
        <v>0.5</v>
      </c>
      <c r="CO31">
        <v>0.5</v>
      </c>
      <c r="CP31">
        <v>0.5</v>
      </c>
      <c r="CQ31">
        <v>0.51</v>
      </c>
      <c r="CR31">
        <v>0.5</v>
      </c>
      <c r="CS31">
        <v>0.5</v>
      </c>
      <c r="CT31" s="3">
        <f t="shared" si="4"/>
        <v>0.49777777777777782</v>
      </c>
    </row>
    <row r="32" spans="1:98" x14ac:dyDescent="0.25">
      <c r="A32" s="1" t="s">
        <v>106</v>
      </c>
      <c r="B32">
        <v>149.44</v>
      </c>
      <c r="C32">
        <v>152.02000000000001</v>
      </c>
      <c r="D32">
        <v>152.51</v>
      </c>
      <c r="E32">
        <v>146.07</v>
      </c>
      <c r="F32">
        <v>152.63999999999999</v>
      </c>
      <c r="G32">
        <v>155.11000000000001</v>
      </c>
      <c r="H32">
        <v>152.03</v>
      </c>
      <c r="I32">
        <v>153.63</v>
      </c>
      <c r="J32">
        <v>156.33000000000001</v>
      </c>
      <c r="K32">
        <v>153.03</v>
      </c>
      <c r="L32">
        <v>154.41</v>
      </c>
      <c r="M32">
        <v>153.63999999999999</v>
      </c>
      <c r="N32">
        <v>156.06</v>
      </c>
      <c r="O32">
        <v>154.05000000000001</v>
      </c>
      <c r="P32">
        <v>154.63</v>
      </c>
      <c r="Q32">
        <v>152.56</v>
      </c>
      <c r="R32">
        <v>163.51</v>
      </c>
      <c r="S32">
        <v>160.49</v>
      </c>
      <c r="T32">
        <v>160.38999999999999</v>
      </c>
      <c r="U32">
        <v>161.22</v>
      </c>
      <c r="V32" s="3">
        <f t="shared" si="0"/>
        <v>154.68849999999998</v>
      </c>
      <c r="W32">
        <v>150.32</v>
      </c>
      <c r="X32">
        <v>152.09</v>
      </c>
      <c r="Y32">
        <v>151.63999999999999</v>
      </c>
      <c r="Z32" s="5">
        <v>159.13999999999999</v>
      </c>
      <c r="AA32">
        <v>158.41999999999999</v>
      </c>
      <c r="AB32">
        <v>156.59</v>
      </c>
      <c r="AC32">
        <v>155.82</v>
      </c>
      <c r="AD32">
        <v>155.63999999999999</v>
      </c>
      <c r="AE32">
        <v>154.24</v>
      </c>
      <c r="AF32">
        <v>158.32</v>
      </c>
      <c r="AG32">
        <v>155.02000000000001</v>
      </c>
      <c r="AH32">
        <v>154.91999999999999</v>
      </c>
      <c r="AI32">
        <v>155.44999999999999</v>
      </c>
      <c r="AJ32">
        <v>153.84</v>
      </c>
      <c r="AK32" s="3">
        <f t="shared" si="1"/>
        <v>155.10357142857143</v>
      </c>
      <c r="AL32">
        <v>150.86000000000001</v>
      </c>
      <c r="AM32">
        <v>147.66999999999999</v>
      </c>
      <c r="AN32">
        <v>149.69</v>
      </c>
      <c r="AO32">
        <v>151.94999999999999</v>
      </c>
      <c r="AP32">
        <v>155.11000000000001</v>
      </c>
      <c r="AQ32">
        <v>150.49</v>
      </c>
      <c r="AR32">
        <v>149.86000000000001</v>
      </c>
      <c r="AS32">
        <v>153.80000000000001</v>
      </c>
      <c r="AT32" s="5">
        <v>150.59</v>
      </c>
      <c r="AU32">
        <v>148.44999999999999</v>
      </c>
      <c r="AV32">
        <v>147.63</v>
      </c>
      <c r="AW32">
        <v>151.25</v>
      </c>
      <c r="AX32">
        <v>148.49</v>
      </c>
      <c r="AY32">
        <v>147.16</v>
      </c>
      <c r="AZ32">
        <v>146.56</v>
      </c>
      <c r="BA32">
        <v>149.35</v>
      </c>
      <c r="BB32">
        <v>149.94999999999999</v>
      </c>
      <c r="BC32">
        <v>151.13</v>
      </c>
      <c r="BD32">
        <v>153.65</v>
      </c>
      <c r="BE32">
        <v>151.66999999999999</v>
      </c>
      <c r="BF32" s="3">
        <f t="shared" si="2"/>
        <v>150.2655</v>
      </c>
      <c r="BG32">
        <v>145.47999999999999</v>
      </c>
      <c r="BH32">
        <v>144.93</v>
      </c>
      <c r="BI32">
        <v>146.43</v>
      </c>
      <c r="BJ32">
        <v>146.34</v>
      </c>
      <c r="BK32">
        <v>147.18</v>
      </c>
      <c r="BL32">
        <v>147.02000000000001</v>
      </c>
      <c r="BM32">
        <v>146.82</v>
      </c>
      <c r="BN32">
        <v>145.71</v>
      </c>
      <c r="BO32">
        <v>152.25</v>
      </c>
      <c r="BP32" s="5">
        <v>151.24</v>
      </c>
      <c r="BQ32">
        <v>150.32</v>
      </c>
      <c r="BR32">
        <v>148.79</v>
      </c>
      <c r="BS32">
        <v>143.19</v>
      </c>
      <c r="BT32">
        <v>149.05000000000001</v>
      </c>
      <c r="BU32">
        <v>144.36000000000001</v>
      </c>
      <c r="BV32">
        <v>144.99</v>
      </c>
      <c r="BW32">
        <v>147.19</v>
      </c>
      <c r="BX32">
        <v>150.41</v>
      </c>
      <c r="BY32">
        <v>149.97</v>
      </c>
      <c r="BZ32">
        <v>147.69</v>
      </c>
      <c r="CA32" s="3">
        <f t="shared" si="3"/>
        <v>147.46800000000002</v>
      </c>
      <c r="CB32">
        <v>140.22999999999999</v>
      </c>
      <c r="CC32">
        <v>144.94999999999999</v>
      </c>
      <c r="CD32">
        <v>144.33000000000001</v>
      </c>
      <c r="CE32">
        <v>142.87</v>
      </c>
      <c r="CF32">
        <v>149.13</v>
      </c>
      <c r="CG32">
        <v>145.83000000000001</v>
      </c>
      <c r="CH32">
        <v>147.37</v>
      </c>
      <c r="CI32">
        <v>145.94</v>
      </c>
      <c r="CJ32">
        <v>143.79</v>
      </c>
      <c r="CK32">
        <v>139.96</v>
      </c>
      <c r="CL32">
        <v>140.68</v>
      </c>
      <c r="CM32">
        <v>140.87</v>
      </c>
      <c r="CN32" s="5">
        <v>146.63</v>
      </c>
      <c r="CO32">
        <v>146.22999999999999</v>
      </c>
      <c r="CP32">
        <v>141.22999999999999</v>
      </c>
      <c r="CQ32">
        <v>140.58000000000001</v>
      </c>
      <c r="CR32">
        <v>142.27000000000001</v>
      </c>
      <c r="CS32">
        <v>144.12</v>
      </c>
      <c r="CT32" s="3">
        <f t="shared" si="4"/>
        <v>143.72277777777779</v>
      </c>
    </row>
    <row r="33" spans="1:98" x14ac:dyDescent="0.25">
      <c r="A33" s="1" t="s">
        <v>107</v>
      </c>
      <c r="B33">
        <v>100.82</v>
      </c>
      <c r="C33">
        <v>102.49</v>
      </c>
      <c r="D33">
        <v>102.87</v>
      </c>
      <c r="E33">
        <v>98.57</v>
      </c>
      <c r="F33">
        <v>102.64</v>
      </c>
      <c r="G33">
        <v>104.42</v>
      </c>
      <c r="H33">
        <v>102.37</v>
      </c>
      <c r="I33">
        <v>103.57</v>
      </c>
      <c r="J33">
        <v>105.2</v>
      </c>
      <c r="K33">
        <v>102.9</v>
      </c>
      <c r="L33">
        <v>103.97</v>
      </c>
      <c r="M33">
        <v>103.45</v>
      </c>
      <c r="N33">
        <v>105.15</v>
      </c>
      <c r="O33">
        <v>103.78</v>
      </c>
      <c r="P33">
        <v>104.12</v>
      </c>
      <c r="Q33">
        <v>102.75</v>
      </c>
      <c r="R33">
        <v>110.28</v>
      </c>
      <c r="S33">
        <v>108.26</v>
      </c>
      <c r="T33">
        <v>107.97</v>
      </c>
      <c r="U33">
        <v>108.74</v>
      </c>
      <c r="V33" s="3">
        <f t="shared" si="0"/>
        <v>104.21600000000001</v>
      </c>
      <c r="W33">
        <v>101.35</v>
      </c>
      <c r="X33">
        <v>102.64</v>
      </c>
      <c r="Y33">
        <v>102.34</v>
      </c>
      <c r="Z33" s="5">
        <v>107</v>
      </c>
      <c r="AA33">
        <v>106.54</v>
      </c>
      <c r="AB33">
        <v>105.31</v>
      </c>
      <c r="AC33">
        <v>104.84</v>
      </c>
      <c r="AD33">
        <v>104.84</v>
      </c>
      <c r="AE33">
        <v>103.87</v>
      </c>
      <c r="AF33">
        <v>106.58</v>
      </c>
      <c r="AG33">
        <v>104.29</v>
      </c>
      <c r="AH33">
        <v>104.3</v>
      </c>
      <c r="AI33">
        <v>104.6</v>
      </c>
      <c r="AJ33">
        <v>103.6</v>
      </c>
      <c r="AK33" s="3">
        <f t="shared" si="1"/>
        <v>104.43571428571428</v>
      </c>
      <c r="AL33">
        <v>101.73</v>
      </c>
      <c r="AM33">
        <v>99.4</v>
      </c>
      <c r="AN33">
        <v>100.88</v>
      </c>
      <c r="AO33">
        <v>102.44</v>
      </c>
      <c r="AP33">
        <v>104.51</v>
      </c>
      <c r="AQ33">
        <v>101.46</v>
      </c>
      <c r="AR33">
        <v>100.92</v>
      </c>
      <c r="AS33">
        <v>103.56</v>
      </c>
      <c r="AT33" s="5">
        <v>101.45</v>
      </c>
      <c r="AU33">
        <v>100.18</v>
      </c>
      <c r="AV33">
        <v>99.63</v>
      </c>
      <c r="AW33">
        <v>101.98</v>
      </c>
      <c r="AX33">
        <v>100.1</v>
      </c>
      <c r="AY33">
        <v>99.08</v>
      </c>
      <c r="AZ33">
        <v>98.63</v>
      </c>
      <c r="BA33">
        <v>100.55</v>
      </c>
      <c r="BB33">
        <v>101.05</v>
      </c>
      <c r="BC33">
        <v>101.78</v>
      </c>
      <c r="BD33">
        <v>103.51</v>
      </c>
      <c r="BE33">
        <v>102.14</v>
      </c>
      <c r="BF33" s="3">
        <f t="shared" si="2"/>
        <v>101.249</v>
      </c>
      <c r="BG33">
        <v>98.26</v>
      </c>
      <c r="BH33">
        <v>97.9</v>
      </c>
      <c r="BI33">
        <v>92.83</v>
      </c>
      <c r="BJ33">
        <v>98.84</v>
      </c>
      <c r="BK33">
        <v>99.4</v>
      </c>
      <c r="BL33">
        <v>99.23</v>
      </c>
      <c r="BM33">
        <v>99.05</v>
      </c>
      <c r="BN33">
        <v>98.41</v>
      </c>
      <c r="BO33">
        <v>102.79</v>
      </c>
      <c r="BP33" s="5">
        <v>102.11</v>
      </c>
      <c r="BQ33">
        <v>101.49</v>
      </c>
      <c r="BR33">
        <v>100.42</v>
      </c>
      <c r="BS33">
        <v>96.69</v>
      </c>
      <c r="BT33">
        <v>96.64</v>
      </c>
      <c r="BU33">
        <v>97.51</v>
      </c>
      <c r="BV33">
        <v>97.89</v>
      </c>
      <c r="BW33">
        <v>99.41</v>
      </c>
      <c r="BX33">
        <v>101.37</v>
      </c>
      <c r="BY33">
        <v>101.21</v>
      </c>
      <c r="BZ33">
        <v>99.69</v>
      </c>
      <c r="CA33" s="3">
        <f t="shared" si="3"/>
        <v>99.057000000000016</v>
      </c>
      <c r="CB33">
        <v>95.09</v>
      </c>
      <c r="CC33">
        <v>98.07</v>
      </c>
      <c r="CD33">
        <v>97.7</v>
      </c>
      <c r="CE33">
        <v>96.64</v>
      </c>
      <c r="CF33">
        <v>100.57</v>
      </c>
      <c r="CG33">
        <v>98.63</v>
      </c>
      <c r="CH33">
        <v>99.68</v>
      </c>
      <c r="CI33">
        <v>98.69</v>
      </c>
      <c r="CJ33">
        <v>97.08</v>
      </c>
      <c r="CK33">
        <v>94.92</v>
      </c>
      <c r="CL33">
        <v>95.35</v>
      </c>
      <c r="CM33">
        <v>95.47</v>
      </c>
      <c r="CN33" s="5">
        <v>98.99</v>
      </c>
      <c r="CO33">
        <v>98.51</v>
      </c>
      <c r="CP33">
        <v>95.58</v>
      </c>
      <c r="CQ33">
        <v>98.17</v>
      </c>
      <c r="CR33">
        <v>96.37</v>
      </c>
      <c r="CS33">
        <v>97.34</v>
      </c>
      <c r="CT33" s="3">
        <f t="shared" si="4"/>
        <v>97.38055555555556</v>
      </c>
    </row>
    <row r="34" spans="1:98" x14ac:dyDescent="0.25">
      <c r="A34" s="1" t="s">
        <v>114</v>
      </c>
      <c r="B34" s="5">
        <f t="shared" ref="B34:AG34" si="5">SUM(B14,-B16)</f>
        <v>28</v>
      </c>
      <c r="C34" s="5">
        <f t="shared" si="5"/>
        <v>26</v>
      </c>
      <c r="D34" s="5">
        <f t="shared" si="5"/>
        <v>26</v>
      </c>
      <c r="E34" s="5">
        <f t="shared" si="5"/>
        <v>27</v>
      </c>
      <c r="F34" s="5">
        <f t="shared" si="5"/>
        <v>21</v>
      </c>
      <c r="G34" s="5">
        <f t="shared" si="5"/>
        <v>20</v>
      </c>
      <c r="H34" s="5">
        <f t="shared" si="5"/>
        <v>20</v>
      </c>
      <c r="I34" s="5">
        <f t="shared" si="5"/>
        <v>20</v>
      </c>
      <c r="J34" s="5">
        <f t="shared" si="5"/>
        <v>18</v>
      </c>
      <c r="K34" s="5">
        <f t="shared" si="5"/>
        <v>19</v>
      </c>
      <c r="L34" s="5">
        <f t="shared" si="5"/>
        <v>20</v>
      </c>
      <c r="M34" s="5">
        <f t="shared" si="5"/>
        <v>19</v>
      </c>
      <c r="N34" s="5">
        <f t="shared" si="5"/>
        <v>22</v>
      </c>
      <c r="O34" s="5">
        <f t="shared" si="5"/>
        <v>22</v>
      </c>
      <c r="P34" s="5">
        <f t="shared" si="5"/>
        <v>22</v>
      </c>
      <c r="Q34" s="5">
        <f t="shared" si="5"/>
        <v>22</v>
      </c>
      <c r="R34" s="5">
        <f t="shared" si="5"/>
        <v>22</v>
      </c>
      <c r="S34" s="5">
        <f t="shared" si="5"/>
        <v>23</v>
      </c>
      <c r="T34" s="5">
        <f t="shared" si="5"/>
        <v>23</v>
      </c>
      <c r="U34" s="5">
        <f t="shared" si="5"/>
        <v>23</v>
      </c>
      <c r="V34" s="3">
        <f t="shared" si="5"/>
        <v>22.150000000000006</v>
      </c>
      <c r="W34" s="5">
        <f t="shared" si="5"/>
        <v>34</v>
      </c>
      <c r="X34" s="5">
        <f t="shared" si="5"/>
        <v>35</v>
      </c>
      <c r="Y34" s="5">
        <f t="shared" si="5"/>
        <v>34</v>
      </c>
      <c r="Z34" s="5">
        <f t="shared" si="5"/>
        <v>23</v>
      </c>
      <c r="AA34" s="5">
        <f t="shared" si="5"/>
        <v>23</v>
      </c>
      <c r="AB34" s="5">
        <f t="shared" si="5"/>
        <v>22</v>
      </c>
      <c r="AC34" s="5">
        <f t="shared" si="5"/>
        <v>24</v>
      </c>
      <c r="AD34" s="5">
        <f t="shared" si="5"/>
        <v>24</v>
      </c>
      <c r="AE34" s="5">
        <f t="shared" si="5"/>
        <v>23</v>
      </c>
      <c r="AF34" s="5">
        <f t="shared" si="5"/>
        <v>24</v>
      </c>
      <c r="AG34" s="5">
        <f t="shared" si="5"/>
        <v>25</v>
      </c>
      <c r="AH34" s="5">
        <f t="shared" ref="AH34:BM34" si="6">SUM(AH14,-AH16)</f>
        <v>25</v>
      </c>
      <c r="AI34" s="5">
        <f t="shared" si="6"/>
        <v>23</v>
      </c>
      <c r="AJ34" s="5">
        <f t="shared" si="6"/>
        <v>26</v>
      </c>
      <c r="AK34" s="3">
        <f t="shared" si="6"/>
        <v>26.071428571428584</v>
      </c>
      <c r="AL34" s="5">
        <f t="shared" si="6"/>
        <v>33</v>
      </c>
      <c r="AM34" s="5">
        <f t="shared" si="6"/>
        <v>34</v>
      </c>
      <c r="AN34" s="5">
        <f t="shared" si="6"/>
        <v>31</v>
      </c>
      <c r="AO34" s="5">
        <f t="shared" si="6"/>
        <v>34</v>
      </c>
      <c r="AP34" s="5">
        <f t="shared" si="6"/>
        <v>33</v>
      </c>
      <c r="AQ34" s="5">
        <f t="shared" si="6"/>
        <v>34</v>
      </c>
      <c r="AR34" s="5">
        <f t="shared" si="6"/>
        <v>33</v>
      </c>
      <c r="AS34" s="5">
        <f t="shared" si="6"/>
        <v>33</v>
      </c>
      <c r="AT34" s="5">
        <f t="shared" si="6"/>
        <v>34</v>
      </c>
      <c r="AU34" s="5">
        <f t="shared" si="6"/>
        <v>35</v>
      </c>
      <c r="AV34" s="5">
        <f t="shared" si="6"/>
        <v>35</v>
      </c>
      <c r="AW34" s="5">
        <f t="shared" si="6"/>
        <v>35</v>
      </c>
      <c r="AX34" s="5">
        <f t="shared" si="6"/>
        <v>31</v>
      </c>
      <c r="AY34" s="5">
        <f t="shared" si="6"/>
        <v>32</v>
      </c>
      <c r="AZ34" s="5">
        <f t="shared" si="6"/>
        <v>30</v>
      </c>
      <c r="BA34" s="5">
        <f t="shared" si="6"/>
        <v>31</v>
      </c>
      <c r="BB34" s="5">
        <f t="shared" si="6"/>
        <v>33</v>
      </c>
      <c r="BC34" s="5">
        <f t="shared" si="6"/>
        <v>34</v>
      </c>
      <c r="BD34" s="5">
        <f t="shared" si="6"/>
        <v>33</v>
      </c>
      <c r="BE34" s="5">
        <f t="shared" si="6"/>
        <v>34</v>
      </c>
      <c r="BF34" s="3">
        <f t="shared" si="6"/>
        <v>33.100000000000009</v>
      </c>
      <c r="BG34" s="5">
        <f t="shared" si="6"/>
        <v>37</v>
      </c>
      <c r="BH34" s="5">
        <f t="shared" si="6"/>
        <v>42</v>
      </c>
      <c r="BI34" s="5">
        <f t="shared" si="6"/>
        <v>40</v>
      </c>
      <c r="BJ34" s="5">
        <f t="shared" si="6"/>
        <v>38</v>
      </c>
      <c r="BK34" s="5">
        <f t="shared" si="6"/>
        <v>40</v>
      </c>
      <c r="BL34" s="5">
        <f t="shared" si="6"/>
        <v>40</v>
      </c>
      <c r="BM34" s="5">
        <f t="shared" si="6"/>
        <v>40</v>
      </c>
      <c r="BN34" s="5">
        <f t="shared" ref="BN34:CT34" si="7">SUM(BN14,-BN16)</f>
        <v>40</v>
      </c>
      <c r="BO34" s="5">
        <f t="shared" si="7"/>
        <v>40</v>
      </c>
      <c r="BP34" s="5">
        <f t="shared" si="7"/>
        <v>40</v>
      </c>
      <c r="BQ34" s="5">
        <f t="shared" si="7"/>
        <v>40</v>
      </c>
      <c r="BR34" s="5">
        <f t="shared" si="7"/>
        <v>40</v>
      </c>
      <c r="BS34" s="5">
        <f t="shared" si="7"/>
        <v>40</v>
      </c>
      <c r="BT34" s="5">
        <f t="shared" si="7"/>
        <v>40</v>
      </c>
      <c r="BU34" s="5">
        <f t="shared" si="7"/>
        <v>40</v>
      </c>
      <c r="BV34" s="5">
        <f t="shared" si="7"/>
        <v>42</v>
      </c>
      <c r="BW34" s="5">
        <f t="shared" si="7"/>
        <v>41</v>
      </c>
      <c r="BX34" s="5">
        <f t="shared" si="7"/>
        <v>41</v>
      </c>
      <c r="BY34" s="5">
        <f t="shared" si="7"/>
        <v>42</v>
      </c>
      <c r="BZ34" s="5">
        <f t="shared" si="7"/>
        <v>41</v>
      </c>
      <c r="CA34" s="3">
        <f t="shared" si="7"/>
        <v>40.200000000000017</v>
      </c>
      <c r="CB34" s="5">
        <f t="shared" si="7"/>
        <v>54</v>
      </c>
      <c r="CC34" s="5">
        <f t="shared" si="7"/>
        <v>53</v>
      </c>
      <c r="CD34" s="5">
        <f t="shared" si="7"/>
        <v>54</v>
      </c>
      <c r="CE34" s="5">
        <f t="shared" si="7"/>
        <v>53</v>
      </c>
      <c r="CF34" s="5">
        <f t="shared" si="7"/>
        <v>49</v>
      </c>
      <c r="CG34" s="5">
        <f t="shared" si="7"/>
        <v>50</v>
      </c>
      <c r="CH34" s="5">
        <f t="shared" si="7"/>
        <v>50</v>
      </c>
      <c r="CI34" s="5">
        <f t="shared" si="7"/>
        <v>49</v>
      </c>
      <c r="CJ34" s="5">
        <f t="shared" si="7"/>
        <v>56</v>
      </c>
      <c r="CK34" s="5">
        <f t="shared" si="7"/>
        <v>55</v>
      </c>
      <c r="CL34" s="5">
        <f t="shared" si="7"/>
        <v>55</v>
      </c>
      <c r="CM34" s="5">
        <f t="shared" si="7"/>
        <v>56</v>
      </c>
      <c r="CN34" s="5">
        <f t="shared" si="7"/>
        <v>49</v>
      </c>
      <c r="CO34" s="5">
        <f t="shared" si="7"/>
        <v>49</v>
      </c>
      <c r="CP34" s="5">
        <f t="shared" si="7"/>
        <v>49</v>
      </c>
      <c r="CQ34" s="5">
        <f t="shared" si="7"/>
        <v>54</v>
      </c>
      <c r="CR34" s="5">
        <f t="shared" si="7"/>
        <v>53</v>
      </c>
      <c r="CS34" s="5">
        <f t="shared" si="7"/>
        <v>53</v>
      </c>
      <c r="CT34" s="3">
        <f t="shared" si="7"/>
        <v>52.277777777777771</v>
      </c>
    </row>
    <row r="35" spans="1:98" x14ac:dyDescent="0.25">
      <c r="A35" s="1" t="s">
        <v>115</v>
      </c>
      <c r="B35" s="5">
        <f t="shared" ref="B35:AG35" si="8">SUM(B14,-B15)</f>
        <v>0</v>
      </c>
      <c r="C35" s="5">
        <f t="shared" si="8"/>
        <v>-4</v>
      </c>
      <c r="D35" s="5">
        <f t="shared" si="8"/>
        <v>-3</v>
      </c>
      <c r="E35" s="5">
        <f t="shared" si="8"/>
        <v>-1</v>
      </c>
      <c r="F35" s="5">
        <f t="shared" si="8"/>
        <v>0</v>
      </c>
      <c r="G35" s="5">
        <f t="shared" si="8"/>
        <v>-2</v>
      </c>
      <c r="H35" s="5">
        <f t="shared" si="8"/>
        <v>-3</v>
      </c>
      <c r="I35" s="5">
        <f t="shared" si="8"/>
        <v>-2</v>
      </c>
      <c r="J35" s="5">
        <f t="shared" si="8"/>
        <v>-2</v>
      </c>
      <c r="K35" s="5">
        <f t="shared" si="8"/>
        <v>-2</v>
      </c>
      <c r="L35" s="5">
        <f t="shared" si="8"/>
        <v>-2</v>
      </c>
      <c r="M35" s="5">
        <f t="shared" si="8"/>
        <v>-3</v>
      </c>
      <c r="N35" s="5">
        <f t="shared" si="8"/>
        <v>-2</v>
      </c>
      <c r="O35" s="5">
        <f t="shared" si="8"/>
        <v>-3</v>
      </c>
      <c r="P35" s="5">
        <f t="shared" si="8"/>
        <v>-2</v>
      </c>
      <c r="Q35" s="5">
        <f t="shared" si="8"/>
        <v>-2</v>
      </c>
      <c r="R35" s="5">
        <f t="shared" si="8"/>
        <v>-2</v>
      </c>
      <c r="S35" s="5">
        <f t="shared" si="8"/>
        <v>-3</v>
      </c>
      <c r="T35" s="5">
        <f t="shared" si="8"/>
        <v>-2</v>
      </c>
      <c r="U35" s="5">
        <f t="shared" si="8"/>
        <v>-2</v>
      </c>
      <c r="V35" s="3">
        <f t="shared" si="8"/>
        <v>-2.0999999999999943</v>
      </c>
      <c r="W35" s="5">
        <f t="shared" si="8"/>
        <v>2</v>
      </c>
      <c r="X35" s="5">
        <f t="shared" si="8"/>
        <v>3</v>
      </c>
      <c r="Y35" s="5">
        <f t="shared" si="8"/>
        <v>2</v>
      </c>
      <c r="Z35" s="5">
        <f t="shared" si="8"/>
        <v>1</v>
      </c>
      <c r="AA35" s="5">
        <f t="shared" si="8"/>
        <v>0</v>
      </c>
      <c r="AB35" s="5">
        <f t="shared" si="8"/>
        <v>0</v>
      </c>
      <c r="AC35" s="5">
        <f t="shared" si="8"/>
        <v>1</v>
      </c>
      <c r="AD35" s="5">
        <f t="shared" si="8"/>
        <v>-1</v>
      </c>
      <c r="AE35" s="5">
        <f t="shared" si="8"/>
        <v>0</v>
      </c>
      <c r="AF35" s="5">
        <f t="shared" si="8"/>
        <v>0</v>
      </c>
      <c r="AG35" s="5">
        <f t="shared" si="8"/>
        <v>4</v>
      </c>
      <c r="AH35" s="5">
        <f t="shared" ref="AH35:BM35" si="9">SUM(AH14,-AH15)</f>
        <v>3</v>
      </c>
      <c r="AI35" s="5">
        <f t="shared" si="9"/>
        <v>1</v>
      </c>
      <c r="AJ35" s="5">
        <f t="shared" si="9"/>
        <v>4</v>
      </c>
      <c r="AK35" s="3">
        <f t="shared" si="9"/>
        <v>1.4285714285714448</v>
      </c>
      <c r="AL35" s="5">
        <f t="shared" si="9"/>
        <v>2</v>
      </c>
      <c r="AM35" s="5">
        <f t="shared" si="9"/>
        <v>5</v>
      </c>
      <c r="AN35" s="5">
        <f t="shared" si="9"/>
        <v>1</v>
      </c>
      <c r="AO35" s="5">
        <f t="shared" si="9"/>
        <v>4</v>
      </c>
      <c r="AP35" s="5">
        <f t="shared" si="9"/>
        <v>5</v>
      </c>
      <c r="AQ35" s="5">
        <f t="shared" si="9"/>
        <v>4</v>
      </c>
      <c r="AR35" s="5">
        <f t="shared" si="9"/>
        <v>4</v>
      </c>
      <c r="AS35" s="5">
        <f t="shared" si="9"/>
        <v>4</v>
      </c>
      <c r="AT35" s="5">
        <f t="shared" si="9"/>
        <v>4</v>
      </c>
      <c r="AU35" s="5">
        <f t="shared" si="9"/>
        <v>4</v>
      </c>
      <c r="AV35" s="5">
        <f t="shared" si="9"/>
        <v>4</v>
      </c>
      <c r="AW35" s="5">
        <f t="shared" si="9"/>
        <v>3</v>
      </c>
      <c r="AX35" s="5">
        <f t="shared" si="9"/>
        <v>4</v>
      </c>
      <c r="AY35" s="5">
        <f t="shared" si="9"/>
        <v>4</v>
      </c>
      <c r="AZ35" s="5">
        <f t="shared" si="9"/>
        <v>4</v>
      </c>
      <c r="BA35" s="5">
        <f t="shared" si="9"/>
        <v>3</v>
      </c>
      <c r="BB35" s="5">
        <f t="shared" si="9"/>
        <v>3</v>
      </c>
      <c r="BC35" s="5">
        <f t="shared" si="9"/>
        <v>4</v>
      </c>
      <c r="BD35" s="5">
        <f t="shared" si="9"/>
        <v>4</v>
      </c>
      <c r="BE35" s="5">
        <f t="shared" si="9"/>
        <v>4</v>
      </c>
      <c r="BF35" s="3">
        <f t="shared" si="9"/>
        <v>3.7000000000000171</v>
      </c>
      <c r="BG35" s="5">
        <f t="shared" si="9"/>
        <v>6</v>
      </c>
      <c r="BH35" s="5">
        <f t="shared" si="9"/>
        <v>2</v>
      </c>
      <c r="BI35" s="5">
        <f t="shared" si="9"/>
        <v>6</v>
      </c>
      <c r="BJ35" s="5">
        <f t="shared" si="9"/>
        <v>5</v>
      </c>
      <c r="BK35" s="5">
        <f t="shared" si="9"/>
        <v>8</v>
      </c>
      <c r="BL35" s="5">
        <f t="shared" si="9"/>
        <v>7</v>
      </c>
      <c r="BM35" s="5">
        <f t="shared" si="9"/>
        <v>9</v>
      </c>
      <c r="BN35" s="5">
        <f t="shared" ref="BN35:CT35" si="10">SUM(BN14,-BN15)</f>
        <v>8</v>
      </c>
      <c r="BO35" s="5">
        <f t="shared" si="10"/>
        <v>6</v>
      </c>
      <c r="BP35" s="5">
        <f t="shared" si="10"/>
        <v>6</v>
      </c>
      <c r="BQ35" s="5">
        <f t="shared" si="10"/>
        <v>6</v>
      </c>
      <c r="BR35" s="5">
        <f t="shared" si="10"/>
        <v>6</v>
      </c>
      <c r="BS35" s="5">
        <f t="shared" si="10"/>
        <v>7</v>
      </c>
      <c r="BT35" s="5">
        <f t="shared" si="10"/>
        <v>7</v>
      </c>
      <c r="BU35" s="5">
        <f t="shared" si="10"/>
        <v>6</v>
      </c>
      <c r="BV35" s="5">
        <f t="shared" si="10"/>
        <v>8</v>
      </c>
      <c r="BW35" s="5">
        <f t="shared" si="10"/>
        <v>7</v>
      </c>
      <c r="BX35" s="5">
        <f t="shared" si="10"/>
        <v>6</v>
      </c>
      <c r="BY35" s="5">
        <f t="shared" si="10"/>
        <v>7</v>
      </c>
      <c r="BZ35" s="5">
        <f t="shared" si="10"/>
        <v>6</v>
      </c>
      <c r="CA35" s="3">
        <f t="shared" si="10"/>
        <v>6.4500000000000171</v>
      </c>
      <c r="CB35" s="5">
        <f t="shared" si="10"/>
        <v>11</v>
      </c>
      <c r="CC35" s="5">
        <f t="shared" si="10"/>
        <v>11</v>
      </c>
      <c r="CD35" s="5">
        <f t="shared" si="10"/>
        <v>11</v>
      </c>
      <c r="CE35" s="5">
        <f t="shared" si="10"/>
        <v>10</v>
      </c>
      <c r="CF35" s="5">
        <f t="shared" si="10"/>
        <v>10</v>
      </c>
      <c r="CG35" s="5">
        <f t="shared" si="10"/>
        <v>10</v>
      </c>
      <c r="CH35" s="5">
        <f t="shared" si="10"/>
        <v>12</v>
      </c>
      <c r="CI35" s="5">
        <f t="shared" si="10"/>
        <v>11</v>
      </c>
      <c r="CJ35" s="5">
        <f t="shared" si="10"/>
        <v>12</v>
      </c>
      <c r="CK35" s="5">
        <f t="shared" si="10"/>
        <v>11</v>
      </c>
      <c r="CL35" s="5">
        <f t="shared" si="10"/>
        <v>10</v>
      </c>
      <c r="CM35" s="5">
        <f t="shared" si="10"/>
        <v>10</v>
      </c>
      <c r="CN35" s="5">
        <f t="shared" si="10"/>
        <v>8</v>
      </c>
      <c r="CO35" s="5">
        <f t="shared" si="10"/>
        <v>8</v>
      </c>
      <c r="CP35" s="5">
        <f t="shared" si="10"/>
        <v>8</v>
      </c>
      <c r="CQ35" s="5">
        <f t="shared" si="10"/>
        <v>9</v>
      </c>
      <c r="CR35" s="5">
        <f t="shared" si="10"/>
        <v>8</v>
      </c>
      <c r="CS35" s="5">
        <f t="shared" si="10"/>
        <v>7</v>
      </c>
      <c r="CT35" s="3">
        <f t="shared" si="10"/>
        <v>9.8333333333333144</v>
      </c>
    </row>
    <row r="36" spans="1:98" x14ac:dyDescent="0.25">
      <c r="A36" s="1" t="s">
        <v>116</v>
      </c>
      <c r="B36" s="5">
        <f t="shared" ref="B36:AG36" si="11">B34*B35</f>
        <v>0</v>
      </c>
      <c r="C36" s="5">
        <f t="shared" si="11"/>
        <v>-104</v>
      </c>
      <c r="D36" s="5">
        <f t="shared" si="11"/>
        <v>-78</v>
      </c>
      <c r="E36" s="5">
        <f t="shared" si="11"/>
        <v>-27</v>
      </c>
      <c r="F36" s="5">
        <f t="shared" si="11"/>
        <v>0</v>
      </c>
      <c r="G36" s="5">
        <f t="shared" si="11"/>
        <v>-40</v>
      </c>
      <c r="H36" s="5">
        <f t="shared" si="11"/>
        <v>-60</v>
      </c>
      <c r="I36" s="5">
        <f t="shared" si="11"/>
        <v>-40</v>
      </c>
      <c r="J36" s="5">
        <f t="shared" si="11"/>
        <v>-36</v>
      </c>
      <c r="K36" s="5">
        <f t="shared" si="11"/>
        <v>-38</v>
      </c>
      <c r="L36" s="5">
        <f t="shared" si="11"/>
        <v>-40</v>
      </c>
      <c r="M36" s="5">
        <f t="shared" si="11"/>
        <v>-57</v>
      </c>
      <c r="N36" s="5">
        <f t="shared" si="11"/>
        <v>-44</v>
      </c>
      <c r="O36" s="5">
        <f t="shared" si="11"/>
        <v>-66</v>
      </c>
      <c r="P36" s="5">
        <f t="shared" si="11"/>
        <v>-44</v>
      </c>
      <c r="Q36" s="5">
        <f t="shared" si="11"/>
        <v>-44</v>
      </c>
      <c r="R36" s="5">
        <f t="shared" si="11"/>
        <v>-44</v>
      </c>
      <c r="S36" s="5">
        <f t="shared" si="11"/>
        <v>-69</v>
      </c>
      <c r="T36" s="5">
        <f t="shared" si="11"/>
        <v>-46</v>
      </c>
      <c r="U36" s="5">
        <f t="shared" si="11"/>
        <v>-46</v>
      </c>
      <c r="V36" s="3">
        <f t="shared" si="11"/>
        <v>-46.514999999999887</v>
      </c>
      <c r="W36" s="5">
        <f t="shared" si="11"/>
        <v>68</v>
      </c>
      <c r="X36" s="5">
        <f t="shared" si="11"/>
        <v>105</v>
      </c>
      <c r="Y36" s="5">
        <f t="shared" si="11"/>
        <v>68</v>
      </c>
      <c r="Z36" s="5">
        <f t="shared" si="11"/>
        <v>23</v>
      </c>
      <c r="AA36" s="5">
        <f t="shared" si="11"/>
        <v>0</v>
      </c>
      <c r="AB36" s="5">
        <f t="shared" si="11"/>
        <v>0</v>
      </c>
      <c r="AC36" s="5">
        <f t="shared" si="11"/>
        <v>24</v>
      </c>
      <c r="AD36" s="5">
        <f t="shared" si="11"/>
        <v>-24</v>
      </c>
      <c r="AE36" s="5">
        <f t="shared" si="11"/>
        <v>0</v>
      </c>
      <c r="AF36" s="5">
        <f t="shared" si="11"/>
        <v>0</v>
      </c>
      <c r="AG36" s="5">
        <f t="shared" si="11"/>
        <v>100</v>
      </c>
      <c r="AH36" s="5">
        <f t="shared" ref="AH36:BM36" si="12">AH34*AH35</f>
        <v>75</v>
      </c>
      <c r="AI36" s="5">
        <f t="shared" si="12"/>
        <v>23</v>
      </c>
      <c r="AJ36" s="5">
        <f t="shared" si="12"/>
        <v>104</v>
      </c>
      <c r="AK36" s="3">
        <f t="shared" si="12"/>
        <v>37.244897959184115</v>
      </c>
      <c r="AL36" s="5">
        <f t="shared" si="12"/>
        <v>66</v>
      </c>
      <c r="AM36" s="5">
        <f t="shared" si="12"/>
        <v>170</v>
      </c>
      <c r="AN36" s="5">
        <f t="shared" si="12"/>
        <v>31</v>
      </c>
      <c r="AO36" s="5">
        <f t="shared" si="12"/>
        <v>136</v>
      </c>
      <c r="AP36" s="5">
        <f t="shared" si="12"/>
        <v>165</v>
      </c>
      <c r="AQ36" s="5">
        <f t="shared" si="12"/>
        <v>136</v>
      </c>
      <c r="AR36" s="5">
        <f t="shared" si="12"/>
        <v>132</v>
      </c>
      <c r="AS36" s="5">
        <f t="shared" si="12"/>
        <v>132</v>
      </c>
      <c r="AT36" s="5">
        <f t="shared" si="12"/>
        <v>136</v>
      </c>
      <c r="AU36" s="5">
        <f t="shared" si="12"/>
        <v>140</v>
      </c>
      <c r="AV36" s="5">
        <f t="shared" si="12"/>
        <v>140</v>
      </c>
      <c r="AW36" s="5">
        <f t="shared" si="12"/>
        <v>105</v>
      </c>
      <c r="AX36" s="5">
        <f t="shared" si="12"/>
        <v>124</v>
      </c>
      <c r="AY36" s="5">
        <f t="shared" si="12"/>
        <v>128</v>
      </c>
      <c r="AZ36" s="5">
        <f t="shared" si="12"/>
        <v>120</v>
      </c>
      <c r="BA36" s="5">
        <f t="shared" si="12"/>
        <v>93</v>
      </c>
      <c r="BB36" s="5">
        <f t="shared" si="12"/>
        <v>99</v>
      </c>
      <c r="BC36" s="5">
        <f t="shared" si="12"/>
        <v>136</v>
      </c>
      <c r="BD36" s="5">
        <f t="shared" si="12"/>
        <v>132</v>
      </c>
      <c r="BE36" s="5">
        <f t="shared" si="12"/>
        <v>136</v>
      </c>
      <c r="BF36" s="3">
        <f t="shared" si="12"/>
        <v>122.4700000000006</v>
      </c>
      <c r="BG36" s="5">
        <f t="shared" si="12"/>
        <v>222</v>
      </c>
      <c r="BH36" s="5">
        <f t="shared" si="12"/>
        <v>84</v>
      </c>
      <c r="BI36" s="5">
        <f t="shared" si="12"/>
        <v>240</v>
      </c>
      <c r="BJ36" s="5">
        <f t="shared" si="12"/>
        <v>190</v>
      </c>
      <c r="BK36" s="5">
        <f t="shared" si="12"/>
        <v>320</v>
      </c>
      <c r="BL36" s="5">
        <f t="shared" si="12"/>
        <v>280</v>
      </c>
      <c r="BM36" s="5">
        <f t="shared" si="12"/>
        <v>360</v>
      </c>
      <c r="BN36" s="5">
        <f t="shared" ref="BN36:CS36" si="13">BN34*BN35</f>
        <v>320</v>
      </c>
      <c r="BO36" s="5">
        <f t="shared" si="13"/>
        <v>240</v>
      </c>
      <c r="BP36" s="5">
        <f t="shared" si="13"/>
        <v>240</v>
      </c>
      <c r="BQ36" s="5">
        <f t="shared" si="13"/>
        <v>240</v>
      </c>
      <c r="BR36" s="5">
        <f t="shared" si="13"/>
        <v>240</v>
      </c>
      <c r="BS36" s="5">
        <f t="shared" si="13"/>
        <v>280</v>
      </c>
      <c r="BT36" s="5">
        <f t="shared" si="13"/>
        <v>280</v>
      </c>
      <c r="BU36" s="5">
        <f t="shared" si="13"/>
        <v>240</v>
      </c>
      <c r="BV36" s="5">
        <f t="shared" si="13"/>
        <v>336</v>
      </c>
      <c r="BW36" s="5">
        <f t="shared" si="13"/>
        <v>287</v>
      </c>
      <c r="BX36" s="5">
        <f t="shared" si="13"/>
        <v>246</v>
      </c>
      <c r="BY36" s="5">
        <f t="shared" si="13"/>
        <v>294</v>
      </c>
      <c r="BZ36" s="5">
        <f t="shared" si="13"/>
        <v>246</v>
      </c>
      <c r="CA36" s="3">
        <f t="shared" si="13"/>
        <v>259.29000000000082</v>
      </c>
      <c r="CB36" s="5">
        <f t="shared" si="13"/>
        <v>594</v>
      </c>
      <c r="CC36" s="5">
        <f t="shared" si="13"/>
        <v>583</v>
      </c>
      <c r="CD36" s="5">
        <f t="shared" si="13"/>
        <v>594</v>
      </c>
      <c r="CE36" s="5">
        <f t="shared" si="13"/>
        <v>530</v>
      </c>
      <c r="CF36" s="5">
        <f t="shared" si="13"/>
        <v>490</v>
      </c>
      <c r="CG36" s="5">
        <f t="shared" si="13"/>
        <v>500</v>
      </c>
      <c r="CH36" s="5">
        <f t="shared" si="13"/>
        <v>600</v>
      </c>
      <c r="CI36" s="5">
        <f t="shared" si="13"/>
        <v>539</v>
      </c>
      <c r="CJ36" s="5">
        <f t="shared" si="13"/>
        <v>672</v>
      </c>
      <c r="CK36" s="5">
        <f t="shared" si="13"/>
        <v>605</v>
      </c>
      <c r="CL36" s="5">
        <f t="shared" si="13"/>
        <v>550</v>
      </c>
      <c r="CM36" s="5">
        <f t="shared" si="13"/>
        <v>560</v>
      </c>
      <c r="CN36" s="5">
        <f t="shared" si="13"/>
        <v>392</v>
      </c>
      <c r="CO36" s="5">
        <f t="shared" si="13"/>
        <v>392</v>
      </c>
      <c r="CP36" s="5">
        <f t="shared" si="13"/>
        <v>392</v>
      </c>
      <c r="CQ36" s="5">
        <f t="shared" si="13"/>
        <v>486</v>
      </c>
      <c r="CR36" s="5">
        <f t="shared" si="13"/>
        <v>424</v>
      </c>
      <c r="CS36" s="5">
        <f t="shared" si="13"/>
        <v>371</v>
      </c>
      <c r="CT36" s="3">
        <f t="shared" ref="CT36:DY36" si="14">CT34*CT35</f>
        <v>514.06481481481376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2018-05-09T23:23:32Z</dcterms:created>
  <dcterms:modified xsi:type="dcterms:W3CDTF">2018-05-15T19:28:30Z</dcterms:modified>
</cp:coreProperties>
</file>